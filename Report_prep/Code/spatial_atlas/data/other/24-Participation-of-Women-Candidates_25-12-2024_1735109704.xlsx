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31498678-28E5-4611-8CBD-F67556B4E1B5}" xr6:coauthVersionLast="47" xr6:coauthVersionMax="47" xr10:uidLastSave="{00000000-0000-0000-0000-000000000000}"/>
  <bookViews>
    <workbookView xWindow="-120" yWindow="-120" windowWidth="29040" windowHeight="15720" activeTab="3" xr2:uid="{00000000-000D-0000-FFFF-FFFF00000000}"/>
  </bookViews>
  <sheets>
    <sheet name="Table 1" sheetId="1" r:id="rId1"/>
    <sheet name="Sheet1" sheetId="2" r:id="rId2"/>
    <sheet name="Sheet2" sheetId="3" r:id="rId3"/>
    <sheet name="Sheet3" sheetId="4" r:id="rId4"/>
  </sheets>
  <definedNames>
    <definedName name="_xlnm._FilterDatabase" localSheetId="1" hidden="1">Sheet1!$A$1:$H$1</definedName>
    <definedName name="_xlnm._FilterDatabase" localSheetId="2" hidden="1">Sheet2!$A$1:$G$1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2" l="1"/>
  <c r="D21" i="2"/>
  <c r="D37" i="2"/>
  <c r="D6" i="2"/>
  <c r="D32" i="2"/>
  <c r="D20" i="2"/>
  <c r="D16" i="2"/>
  <c r="D11" i="2"/>
  <c r="D30" i="2"/>
  <c r="D3" i="2"/>
  <c r="D27" i="2"/>
  <c r="D17" i="2"/>
  <c r="D33" i="2"/>
  <c r="D5" i="2"/>
  <c r="D15" i="2"/>
  <c r="D29" i="2"/>
  <c r="D8" i="2"/>
  <c r="D12" i="2"/>
  <c r="D26" i="2"/>
  <c r="D36" i="2"/>
  <c r="D14" i="2"/>
  <c r="D13" i="2"/>
  <c r="D9" i="2"/>
  <c r="D34" i="2"/>
  <c r="D4" i="2"/>
  <c r="D10" i="2"/>
  <c r="D22" i="2"/>
  <c r="D23" i="2"/>
  <c r="D24" i="2"/>
  <c r="D25" i="2"/>
  <c r="D31" i="2"/>
  <c r="D2" i="2"/>
  <c r="D7" i="2"/>
  <c r="D19" i="2"/>
  <c r="D28" i="2"/>
  <c r="D18" i="2"/>
  <c r="D38" i="2"/>
</calcChain>
</file>

<file path=xl/sharedStrings.xml><?xml version="1.0" encoding="utf-8"?>
<sst xmlns="http://schemas.openxmlformats.org/spreadsheetml/2006/main" count="513" uniqueCount="143">
  <si>
    <r>
      <rPr>
        <b/>
        <sz val="9"/>
        <rFont val="Cambria"/>
        <family val="1"/>
      </rPr>
      <t>Election Commission of India, Elections,2024 ( 18 LOK SABHA )</t>
    </r>
  </si>
  <si>
    <r>
      <rPr>
        <b/>
        <sz val="12"/>
        <rFont val="Cambria"/>
        <family val="1"/>
      </rPr>
      <t>24 - PARTICIPATION OF WOMEN CANDIDATES IN POLL</t>
    </r>
  </si>
  <si>
    <r>
      <rPr>
        <b/>
        <sz val="11"/>
        <rFont val="Cambria"/>
        <family val="1"/>
      </rPr>
      <t>State /UT</t>
    </r>
  </si>
  <si>
    <r>
      <rPr>
        <b/>
        <sz val="11"/>
        <rFont val="Cambria"/>
        <family val="1"/>
      </rPr>
      <t>Seats</t>
    </r>
  </si>
  <si>
    <r>
      <rPr>
        <b/>
        <sz val="11"/>
        <rFont val="Cambria"/>
        <family val="1"/>
      </rPr>
      <t>Constituency Type</t>
    </r>
  </si>
  <si>
    <r>
      <rPr>
        <b/>
        <sz val="11"/>
        <rFont val="Cambria"/>
        <family val="1"/>
      </rPr>
      <t>No. Of Women</t>
    </r>
  </si>
  <si>
    <r>
      <rPr>
        <b/>
        <sz val="11"/>
        <rFont val="Cambria"/>
        <family val="1"/>
      </rPr>
      <t>% of Elected Women</t>
    </r>
  </si>
  <si>
    <r>
      <rPr>
        <b/>
        <sz val="11"/>
        <rFont val="Cambria"/>
        <family val="1"/>
      </rPr>
      <t>Contestants</t>
    </r>
  </si>
  <si>
    <r>
      <rPr>
        <b/>
        <sz val="11"/>
        <rFont val="Cambria"/>
        <family val="1"/>
      </rPr>
      <t>Elected</t>
    </r>
  </si>
  <si>
    <r>
      <rPr>
        <b/>
        <sz val="11"/>
        <rFont val="Cambria"/>
        <family val="1"/>
      </rPr>
      <t>Deposits Forfeited</t>
    </r>
  </si>
  <si>
    <r>
      <rPr>
        <b/>
        <sz val="11"/>
        <rFont val="Cambria"/>
        <family val="1"/>
      </rPr>
      <t>Over Total Women Candidates in the State</t>
    </r>
  </si>
  <si>
    <r>
      <rPr>
        <b/>
        <sz val="11"/>
        <rFont val="Cambria"/>
        <family val="1"/>
      </rPr>
      <t>Over total seats in State/UT</t>
    </r>
  </si>
  <si>
    <r>
      <rPr>
        <sz val="11"/>
        <rFont val="Cambria"/>
        <family val="1"/>
      </rPr>
      <t>Andhra Pradesh</t>
    </r>
  </si>
  <si>
    <r>
      <rPr>
        <sz val="11"/>
        <rFont val="Cambria"/>
        <family val="1"/>
      </rPr>
      <t>GEN</t>
    </r>
  </si>
  <si>
    <r>
      <rPr>
        <sz val="11"/>
        <rFont val="Cambria"/>
        <family val="1"/>
      </rPr>
      <t>SC</t>
    </r>
  </si>
  <si>
    <r>
      <rPr>
        <sz val="11"/>
        <rFont val="Cambria"/>
        <family val="1"/>
      </rPr>
      <t>ST</t>
    </r>
  </si>
  <si>
    <r>
      <rPr>
        <sz val="11"/>
        <rFont val="Cambria"/>
        <family val="1"/>
      </rPr>
      <t>State Total</t>
    </r>
  </si>
  <si>
    <r>
      <rPr>
        <sz val="11"/>
        <rFont val="Cambria"/>
        <family val="1"/>
      </rPr>
      <t>Arunachal Pradesh</t>
    </r>
  </si>
  <si>
    <r>
      <rPr>
        <sz val="11"/>
        <rFont val="Cambria"/>
        <family val="1"/>
      </rPr>
      <t>Assam</t>
    </r>
  </si>
  <si>
    <r>
      <rPr>
        <sz val="11"/>
        <rFont val="Cambria"/>
        <family val="1"/>
      </rPr>
      <t>Bihar</t>
    </r>
  </si>
  <si>
    <r>
      <rPr>
        <sz val="11"/>
        <rFont val="Cambria"/>
        <family val="1"/>
      </rPr>
      <t>Goa</t>
    </r>
  </si>
  <si>
    <r>
      <rPr>
        <sz val="11"/>
        <rFont val="Cambria"/>
        <family val="1"/>
      </rPr>
      <t>Gujarat</t>
    </r>
  </si>
  <si>
    <r>
      <rPr>
        <sz val="11"/>
        <rFont val="Cambria"/>
        <family val="1"/>
      </rPr>
      <t>Haryana</t>
    </r>
  </si>
  <si>
    <r>
      <rPr>
        <sz val="11"/>
        <rFont val="Cambria"/>
        <family val="1"/>
      </rPr>
      <t>Himachal Pradesh</t>
    </r>
  </si>
  <si>
    <r>
      <rPr>
        <sz val="11"/>
        <rFont val="Cambria"/>
        <family val="1"/>
      </rPr>
      <t>Karnataka</t>
    </r>
  </si>
  <si>
    <r>
      <rPr>
        <sz val="11"/>
        <rFont val="Cambria"/>
        <family val="1"/>
      </rPr>
      <t>Kerala</t>
    </r>
  </si>
  <si>
    <r>
      <rPr>
        <sz val="11"/>
        <rFont val="Cambria"/>
        <family val="1"/>
      </rPr>
      <t>Madhya Pradesh</t>
    </r>
  </si>
  <si>
    <r>
      <rPr>
        <sz val="11"/>
        <rFont val="Cambria"/>
        <family val="1"/>
      </rPr>
      <t>Maharashtra</t>
    </r>
  </si>
  <si>
    <r>
      <rPr>
        <sz val="11"/>
        <rFont val="Cambria"/>
        <family val="1"/>
      </rPr>
      <t>Manipur</t>
    </r>
  </si>
  <si>
    <r>
      <rPr>
        <sz val="11"/>
        <rFont val="Cambria"/>
        <family val="1"/>
      </rPr>
      <t>Meghalaya</t>
    </r>
  </si>
  <si>
    <r>
      <rPr>
        <sz val="11"/>
        <rFont val="Cambria"/>
        <family val="1"/>
      </rPr>
      <t>Mizoram</t>
    </r>
  </si>
  <si>
    <r>
      <rPr>
        <sz val="11"/>
        <rFont val="Cambria"/>
        <family val="1"/>
      </rPr>
      <t>Nagaland</t>
    </r>
  </si>
  <si>
    <r>
      <rPr>
        <sz val="11"/>
        <rFont val="Cambria"/>
        <family val="1"/>
      </rPr>
      <t>Odisha</t>
    </r>
  </si>
  <si>
    <r>
      <rPr>
        <sz val="11"/>
        <rFont val="Cambria"/>
        <family val="1"/>
      </rPr>
      <t>Punjab</t>
    </r>
  </si>
  <si>
    <r>
      <rPr>
        <sz val="11"/>
        <rFont val="Cambria"/>
        <family val="1"/>
      </rPr>
      <t>Rajasthan</t>
    </r>
  </si>
  <si>
    <r>
      <rPr>
        <sz val="11"/>
        <rFont val="Cambria"/>
        <family val="1"/>
      </rPr>
      <t>Sikkim</t>
    </r>
  </si>
  <si>
    <r>
      <rPr>
        <sz val="11"/>
        <rFont val="Cambria"/>
        <family val="1"/>
      </rPr>
      <t>Tamil Nadu</t>
    </r>
  </si>
  <si>
    <r>
      <rPr>
        <sz val="11"/>
        <rFont val="Cambria"/>
        <family val="1"/>
      </rPr>
      <t>Tripura</t>
    </r>
  </si>
  <si>
    <r>
      <rPr>
        <sz val="11"/>
        <rFont val="Cambria"/>
        <family val="1"/>
      </rPr>
      <t>Uttar Pradesh</t>
    </r>
  </si>
  <si>
    <r>
      <rPr>
        <sz val="11"/>
        <rFont val="Cambria"/>
        <family val="1"/>
      </rPr>
      <t>West Bengal</t>
    </r>
  </si>
  <si>
    <r>
      <rPr>
        <sz val="11"/>
        <rFont val="Cambria"/>
        <family val="1"/>
      </rPr>
      <t>Chhattisgarh</t>
    </r>
  </si>
  <si>
    <r>
      <rPr>
        <sz val="11"/>
        <rFont val="Cambria"/>
        <family val="1"/>
      </rPr>
      <t>Jharkhand</t>
    </r>
  </si>
  <si>
    <r>
      <rPr>
        <sz val="11"/>
        <rFont val="Cambria"/>
        <family val="1"/>
      </rPr>
      <t>Uttarakhand</t>
    </r>
  </si>
  <si>
    <r>
      <rPr>
        <sz val="11"/>
        <rFont val="Cambria"/>
        <family val="1"/>
      </rPr>
      <t>Telangana</t>
    </r>
  </si>
  <si>
    <r>
      <rPr>
        <sz val="11"/>
        <rFont val="Cambria"/>
        <family val="1"/>
      </rPr>
      <t>Andaman &amp; Nicobar Islands</t>
    </r>
  </si>
  <si>
    <r>
      <rPr>
        <sz val="11"/>
        <rFont val="Cambria"/>
        <family val="1"/>
      </rPr>
      <t>Chandigarh</t>
    </r>
  </si>
  <si>
    <r>
      <rPr>
        <sz val="11"/>
        <rFont val="Cambria"/>
        <family val="1"/>
      </rPr>
      <t>Dadra &amp; Nagar Haveli and Daman &amp; Diu</t>
    </r>
  </si>
  <si>
    <r>
      <rPr>
        <sz val="11"/>
        <rFont val="Cambria"/>
        <family val="1"/>
      </rPr>
      <t>NCT OF Delhi</t>
    </r>
  </si>
  <si>
    <r>
      <rPr>
        <sz val="11"/>
        <rFont val="Cambria"/>
        <family val="1"/>
      </rPr>
      <t>Lakshadweep</t>
    </r>
  </si>
  <si>
    <r>
      <rPr>
        <sz val="11"/>
        <rFont val="Cambria"/>
        <family val="1"/>
      </rPr>
      <t>Puducherry</t>
    </r>
  </si>
  <si>
    <r>
      <rPr>
        <sz val="11"/>
        <rFont val="Cambria"/>
        <family val="1"/>
      </rPr>
      <t>Jammu and Kashmir</t>
    </r>
  </si>
  <si>
    <r>
      <rPr>
        <sz val="11"/>
        <rFont val="Cambria"/>
        <family val="1"/>
      </rPr>
      <t>Ladakh</t>
    </r>
  </si>
  <si>
    <r>
      <rPr>
        <b/>
        <sz val="11"/>
        <rFont val="Cambria"/>
        <family val="1"/>
      </rPr>
      <t>Total</t>
    </r>
  </si>
  <si>
    <r>
      <rPr>
        <b/>
        <sz val="11"/>
        <rFont val="Cambria"/>
        <family val="1"/>
      </rPr>
      <t xml:space="preserve">Note - </t>
    </r>
    <r>
      <rPr>
        <sz val="11"/>
        <rFont val="Cambria"/>
        <family val="1"/>
      </rPr>
      <t xml:space="preserve">This report is based on election related data of 542 PCs only excluding data of PC-24:Surat due to unopposed election in the PC. Important Statistical Information of PC - Surat may be seen in
</t>
    </r>
    <r>
      <rPr>
        <sz val="11"/>
        <rFont val="Cambria"/>
        <family val="1"/>
      </rPr>
      <t xml:space="preserve">Report </t>
    </r>
    <r>
      <rPr>
        <b/>
        <sz val="11"/>
        <rFont val="Cambria"/>
        <family val="1"/>
      </rPr>
      <t>2A:Highlights(Surat PC)</t>
    </r>
    <r>
      <rPr>
        <sz val="11"/>
        <rFont val="Cambria"/>
        <family val="1"/>
      </rPr>
      <t>.</t>
    </r>
  </si>
  <si>
    <r>
      <rPr>
        <b/>
        <sz val="11"/>
        <rFont val="Cambria"/>
        <family val="1"/>
      </rPr>
      <t>Disclaimer</t>
    </r>
  </si>
  <si>
    <r>
      <rPr>
        <sz val="9.5"/>
        <rFont val="Cambria"/>
        <family val="1"/>
      </rPr>
      <t>These statistical reports are prepared only for academic and research purposes from the secondary data filled in the Index Cards. The primary data is in the statutory forms maintained by the concerned Returning Officers and</t>
    </r>
  </si>
  <si>
    <r>
      <rPr>
        <sz val="9.5"/>
        <rFont val="Cambria"/>
        <family val="1"/>
      </rPr>
      <t>the data kept in statutory forms is final.</t>
    </r>
  </si>
  <si>
    <t>State Total</t>
  </si>
  <si>
    <t>Arunachal Pradesh</t>
  </si>
  <si>
    <t>State /UT</t>
  </si>
  <si>
    <t>State/UT</t>
  </si>
  <si>
    <t>Seats</t>
  </si>
  <si>
    <t>Contestants</t>
  </si>
  <si>
    <t>Elected</t>
  </si>
  <si>
    <t>FD</t>
  </si>
  <si>
    <t>Over Total Women Candidates in the State</t>
  </si>
  <si>
    <t>% of Elected Women Over Total Women Candidates in the State</t>
  </si>
  <si>
    <t>Over total seats in State/UT</t>
  </si>
  <si>
    <t>% of Elected Women Over total seats in State/UT</t>
  </si>
  <si>
    <t>Contested</t>
  </si>
  <si>
    <t>Andhra Pradesh</t>
  </si>
  <si>
    <t>Assam</t>
  </si>
  <si>
    <t>Bihar</t>
  </si>
  <si>
    <t>Goa</t>
  </si>
  <si>
    <t>Gujarat</t>
  </si>
  <si>
    <t>Haryana</t>
  </si>
  <si>
    <t>Himachal Pradesh</t>
  </si>
  <si>
    <t>Karnataka</t>
  </si>
  <si>
    <t>Kerala</t>
  </si>
  <si>
    <t>Madhya Pradesh</t>
  </si>
  <si>
    <t>Maharashtra</t>
  </si>
  <si>
    <t>Manipur</t>
  </si>
  <si>
    <t>Meghalaya</t>
  </si>
  <si>
    <t>Mizoram</t>
  </si>
  <si>
    <t>Nagaland</t>
  </si>
  <si>
    <t>Odisha</t>
  </si>
  <si>
    <t>Punjab</t>
  </si>
  <si>
    <t>Rajasthan</t>
  </si>
  <si>
    <t>Sikkim</t>
  </si>
  <si>
    <t>Tamil Nadu</t>
  </si>
  <si>
    <t>Tripura</t>
  </si>
  <si>
    <t>Uttar Pradesh</t>
  </si>
  <si>
    <t>West Bengal</t>
  </si>
  <si>
    <t>Chhattisgarh</t>
  </si>
  <si>
    <t>Jharkhand</t>
  </si>
  <si>
    <t>Uttarakhand</t>
  </si>
  <si>
    <t>Telangana</t>
  </si>
  <si>
    <t>Andaman &amp; Nicobar Islands</t>
  </si>
  <si>
    <t>Chandigarh</t>
  </si>
  <si>
    <t>Dadra &amp; Nagar Haveli and Daman &amp; Diu</t>
  </si>
  <si>
    <t>NCT OF Delhi</t>
  </si>
  <si>
    <t>Lakshadweep</t>
  </si>
  <si>
    <t>Puducherry</t>
  </si>
  <si>
    <t>Jammu and Kashmir</t>
  </si>
  <si>
    <t>Ladakh</t>
  </si>
  <si>
    <t>Total</t>
  </si>
  <si>
    <t>Contestant %</t>
  </si>
  <si>
    <t>Area (km²)</t>
  </si>
  <si>
    <t>NCT of Delhi</t>
  </si>
  <si>
    <t>% Elected / Women Candidates</t>
  </si>
  <si>
    <t>% Women MPs / Seats</t>
  </si>
  <si>
    <t>Neighbouring States / UTs</t>
  </si>
  <si>
    <t>None</t>
  </si>
  <si>
    <t>Telangana, Karnataka, Tamil Nadu, Odisha, Chhattisgarh</t>
  </si>
  <si>
    <t>Assam, Nagaland</t>
  </si>
  <si>
    <t>Arunachal Pradesh, Nagaland, Manipur, Mizoram, Meghalaya, Tripura, West Bengal</t>
  </si>
  <si>
    <t>Uttar Pradesh, Jharkhand, West Bengal</t>
  </si>
  <si>
    <t>Punjab, Haryana</t>
  </si>
  <si>
    <t>Madhya Pradesh, Maharashtra, Telangana, Odisha, Jharkhand, Uttar Pradesh</t>
  </si>
  <si>
    <t>Gujarat, Maharashtra</t>
  </si>
  <si>
    <t>Karnataka, Maharashtra</t>
  </si>
  <si>
    <t>Rajasthan, Madhya Pradesh, Maharashtra</t>
  </si>
  <si>
    <t>Punjab, Himachal Pradesh, Rajasthan, Uttar Pradesh, NCT Delhi</t>
  </si>
  <si>
    <t>Jammu and Kashmir, Punjab, Haryana, Uttarakhand</t>
  </si>
  <si>
    <t>Himachal Pradesh, Punjab, Ladakh</t>
  </si>
  <si>
    <t>Bihar, Uttar Pradesh, Chhattisgarh, Odisha, West Bengal</t>
  </si>
  <si>
    <t>Kerala, Tamil Nadu, Andhra Pradesh, Telangana, Maharashtra, Goa</t>
  </si>
  <si>
    <t>Karnataka, Tamil Nadu</t>
  </si>
  <si>
    <t>Rajasthan, Uttar Pradesh, Chhattisgarh, Maharashtra, Gujarat</t>
  </si>
  <si>
    <t>Gujarat, Madhya Pradesh, Chhattisgarh, Telangana, Karnataka, Goa</t>
  </si>
  <si>
    <t>Nagaland, Mizoram, Assam</t>
  </si>
  <si>
    <t>Assam, Manipur, Tripura</t>
  </si>
  <si>
    <t>Arunachal Pradesh, Assam, Manipur</t>
  </si>
  <si>
    <t>Haryana, Uttar Pradesh</t>
  </si>
  <si>
    <t>West Bengal, Jharkhand, Chhattisgarh, Andhra Pradesh</t>
  </si>
  <si>
    <t>Jammu and Kashmir, Himachal Pradesh, Haryana, Rajasthan</t>
  </si>
  <si>
    <t>Punjab, Haryana, Uttar Pradesh, Madhya Pradesh, Gujarat</t>
  </si>
  <si>
    <t>Kerala, Karnataka, Andhra Pradesh</t>
  </si>
  <si>
    <t>Maharashtra, Chhattisgarh, Andhra Pradesh, Karnataka</t>
  </si>
  <si>
    <t>Assam, Mizoram</t>
  </si>
  <si>
    <t>Uttarakhand, Himachal Pradesh, Haryana, Rajasthan, Madhya Pradesh, Chhattisgarh, Jharkhand, Bihar</t>
  </si>
  <si>
    <t>Himachal Pradesh, Uttar Pradesh</t>
  </si>
  <si>
    <t>Sikkim, Assam, Jharkhand, Bihar, Odisha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</si>
</sst>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color rgb="FF000000"/>
      <name val="Times New Roman"/>
      <charset val="204"/>
    </font>
    <font>
      <b/>
      <sz val="9"/>
      <name val="Cambria"/>
    </font>
    <font>
      <b/>
      <sz val="12"/>
      <name val="Cambria"/>
    </font>
    <font>
      <b/>
      <sz val="11"/>
      <name val="Cambria"/>
    </font>
    <font>
      <sz val="11"/>
      <name val="Cambria"/>
    </font>
    <font>
      <sz val="11"/>
      <color rgb="FF000000"/>
      <name val="Cambria"/>
      <family val="2"/>
    </font>
    <font>
      <b/>
      <sz val="11"/>
      <color rgb="FF000000"/>
      <name val="Cambria"/>
      <family val="2"/>
    </font>
    <font>
      <sz val="9.5"/>
      <name val="Cambria"/>
    </font>
    <font>
      <b/>
      <sz val="9"/>
      <name val="Cambria"/>
      <family val="1"/>
    </font>
    <font>
      <b/>
      <sz val="12"/>
      <name val="Cambria"/>
      <family val="1"/>
    </font>
    <font>
      <b/>
      <sz val="11"/>
      <name val="Cambria"/>
      <family val="1"/>
    </font>
    <font>
      <sz val="11"/>
      <name val="Cambria"/>
      <family val="1"/>
    </font>
    <font>
      <sz val="9.5"/>
      <name val="Cambria"/>
      <family val="1"/>
    </font>
    <font>
      <sz val="10"/>
      <color rgb="FF000000"/>
      <name val="Times New Roman"/>
      <family val="1"/>
    </font>
    <font>
      <b/>
      <sz val="11"/>
      <color rgb="FF000000"/>
      <name val="Times New Roman"/>
      <family val="1"/>
    </font>
    <font>
      <sz val="11"/>
      <name val="Arial"/>
      <family val="2"/>
    </font>
    <font>
      <sz val="11"/>
      <color rgb="FF000000"/>
      <name val="Arial"/>
      <family val="2"/>
    </font>
    <font>
      <b/>
      <sz val="11"/>
      <name val="Arial"/>
      <family val="2"/>
    </font>
    <font>
      <sz val="10"/>
      <name val="Arial"/>
      <family val="2"/>
    </font>
    <font>
      <b/>
      <sz val="10"/>
      <name val="Arial"/>
      <family val="2"/>
    </font>
    <font>
      <b/>
      <sz val="10"/>
      <color rgb="FF000000"/>
      <name val="Times New Roman"/>
      <family val="1"/>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s>
  <cellStyleXfs count="1">
    <xf numFmtId="0" fontId="0" fillId="0" borderId="0"/>
  </cellStyleXfs>
  <cellXfs count="72">
    <xf numFmtId="0" fontId="0" fillId="0" borderId="0" xfId="0" applyAlignment="1">
      <alignment horizontal="left" vertical="top"/>
    </xf>
    <xf numFmtId="0" fontId="0" fillId="0" borderId="0" xfId="0" applyAlignment="1">
      <alignment horizontal="left" vertical="top"/>
    </xf>
    <xf numFmtId="0" fontId="14" fillId="0" borderId="0" xfId="0" applyFont="1" applyAlignment="1">
      <alignment horizontal="center" vertical="center"/>
    </xf>
    <xf numFmtId="0" fontId="14" fillId="0" borderId="7" xfId="0" applyFont="1" applyBorder="1" applyAlignment="1">
      <alignment horizontal="center" vertical="center"/>
    </xf>
    <xf numFmtId="0" fontId="1" fillId="0" borderId="0" xfId="0" applyFont="1" applyAlignment="1">
      <alignment horizontal="left"/>
    </xf>
    <xf numFmtId="0" fontId="0" fillId="0" borderId="0" xfId="0" applyAlignment="1">
      <alignment horizontal="left"/>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10" fillId="0" borderId="5"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4" fillId="0" borderId="1" xfId="0" applyFont="1" applyBorder="1" applyAlignment="1">
      <alignment horizontal="left" vertical="top"/>
    </xf>
    <xf numFmtId="1" fontId="5" fillId="0" borderId="1" xfId="0" applyNumberFormat="1" applyFont="1" applyBorder="1" applyAlignment="1">
      <alignment horizontal="right" vertical="top"/>
    </xf>
    <xf numFmtId="2" fontId="5" fillId="0" borderId="2" xfId="0" applyNumberFormat="1" applyFont="1" applyBorder="1" applyAlignment="1">
      <alignment horizontal="right" vertical="top"/>
    </xf>
    <xf numFmtId="2" fontId="5" fillId="0" borderId="4" xfId="0" applyNumberFormat="1" applyFont="1" applyBorder="1" applyAlignment="1">
      <alignment horizontal="right" vertical="top"/>
    </xf>
    <xf numFmtId="0" fontId="3" fillId="0" borderId="6" xfId="0" applyFont="1" applyBorder="1" applyAlignment="1">
      <alignment horizontal="left" vertical="center"/>
    </xf>
    <xf numFmtId="0" fontId="3" fillId="0" borderId="6" xfId="0" applyFont="1" applyBorder="1" applyAlignment="1">
      <alignment horizontal="left" vertical="top"/>
    </xf>
    <xf numFmtId="0" fontId="3" fillId="0" borderId="1" xfId="0" applyFont="1" applyBorder="1" applyAlignment="1">
      <alignment horizontal="right" vertical="top"/>
    </xf>
    <xf numFmtId="0" fontId="3" fillId="0" borderId="1" xfId="0" applyFont="1" applyBorder="1" applyAlignment="1">
      <alignment horizontal="left" vertical="top"/>
    </xf>
    <xf numFmtId="0" fontId="10" fillId="0" borderId="2" xfId="0" applyFont="1" applyBorder="1" applyAlignment="1">
      <alignment horizontal="center" vertical="top"/>
    </xf>
    <xf numFmtId="0" fontId="3" fillId="0" borderId="4" xfId="0" applyFont="1" applyBorder="1" applyAlignment="1">
      <alignment horizontal="center" vertical="top"/>
    </xf>
    <xf numFmtId="0" fontId="10" fillId="0" borderId="1" xfId="0" applyFont="1" applyBorder="1" applyAlignment="1">
      <alignment horizontal="center" vertical="top"/>
    </xf>
    <xf numFmtId="0" fontId="11" fillId="0" borderId="1" xfId="0" applyFont="1" applyBorder="1" applyAlignment="1">
      <alignment horizontal="left" vertical="top"/>
    </xf>
    <xf numFmtId="1" fontId="5" fillId="0" borderId="2" xfId="0" applyNumberFormat="1" applyFont="1" applyBorder="1" applyAlignment="1">
      <alignment horizontal="right" vertical="top"/>
    </xf>
    <xf numFmtId="1" fontId="5" fillId="0" borderId="4" xfId="0" applyNumberFormat="1" applyFont="1" applyBorder="1" applyAlignment="1">
      <alignment horizontal="right" vertical="top"/>
    </xf>
    <xf numFmtId="2" fontId="5" fillId="0" borderId="1" xfId="0" applyNumberFormat="1" applyFont="1" applyBorder="1" applyAlignment="1">
      <alignment horizontal="right" vertical="top"/>
    </xf>
    <xf numFmtId="0" fontId="0" fillId="0" borderId="1" xfId="0" applyBorder="1" applyAlignment="1">
      <alignment horizontal="left"/>
    </xf>
    <xf numFmtId="2" fontId="5" fillId="0" borderId="2" xfId="0" applyNumberFormat="1" applyFont="1" applyBorder="1" applyAlignment="1">
      <alignment horizontal="left" vertical="top"/>
    </xf>
    <xf numFmtId="2" fontId="5" fillId="0" borderId="4" xfId="0" applyNumberFormat="1" applyFont="1" applyBorder="1" applyAlignment="1">
      <alignment horizontal="left" vertical="top"/>
    </xf>
    <xf numFmtId="164" fontId="5" fillId="0" borderId="1" xfId="0" applyNumberFormat="1" applyFont="1" applyBorder="1" applyAlignment="1">
      <alignment horizontal="right" vertical="top"/>
    </xf>
    <xf numFmtId="0" fontId="0" fillId="0" borderId="0" xfId="0" applyAlignment="1">
      <alignment horizontal="left" vertical="center"/>
    </xf>
    <xf numFmtId="1" fontId="5" fillId="0" borderId="1" xfId="0" applyNumberFormat="1" applyFont="1" applyBorder="1" applyAlignment="1">
      <alignment horizontal="right" vertical="center"/>
    </xf>
    <xf numFmtId="0" fontId="4" fillId="0" borderId="1" xfId="0" applyFont="1" applyBorder="1" applyAlignment="1">
      <alignment horizontal="left" vertical="center"/>
    </xf>
    <xf numFmtId="1" fontId="5" fillId="0" borderId="2" xfId="0" applyNumberFormat="1" applyFont="1" applyBorder="1" applyAlignment="1">
      <alignment horizontal="right" vertical="center"/>
    </xf>
    <xf numFmtId="1" fontId="5" fillId="0" borderId="4" xfId="0" applyNumberFormat="1" applyFont="1" applyBorder="1" applyAlignment="1">
      <alignment horizontal="right" vertical="center"/>
    </xf>
    <xf numFmtId="164" fontId="5" fillId="0" borderId="2" xfId="0" applyNumberFormat="1" applyFont="1" applyBorder="1" applyAlignment="1">
      <alignment horizontal="right" vertical="top"/>
    </xf>
    <xf numFmtId="164" fontId="5" fillId="0" borderId="4" xfId="0" applyNumberFormat="1" applyFont="1" applyBorder="1" applyAlignment="1">
      <alignment horizontal="right" vertical="top"/>
    </xf>
    <xf numFmtId="1" fontId="6" fillId="0" borderId="1" xfId="0" applyNumberFormat="1" applyFont="1" applyBorder="1" applyAlignment="1">
      <alignment horizontal="right" vertical="top"/>
    </xf>
    <xf numFmtId="2" fontId="6" fillId="0" borderId="2" xfId="0" applyNumberFormat="1" applyFont="1" applyBorder="1" applyAlignment="1">
      <alignment horizontal="right" vertical="top"/>
    </xf>
    <xf numFmtId="2" fontId="6" fillId="0" borderId="4" xfId="0" applyNumberFormat="1" applyFont="1" applyBorder="1" applyAlignment="1">
      <alignment horizontal="right" vertical="top"/>
    </xf>
    <xf numFmtId="2" fontId="6" fillId="0" borderId="1" xfId="0" applyNumberFormat="1" applyFont="1" applyBorder="1" applyAlignment="1">
      <alignment horizontal="right" vertical="top"/>
    </xf>
    <xf numFmtId="0" fontId="3" fillId="0" borderId="2" xfId="0" applyFont="1" applyBorder="1" applyAlignment="1">
      <alignment horizontal="center" vertical="top"/>
    </xf>
    <xf numFmtId="0" fontId="3" fillId="0" borderId="1" xfId="0" applyFont="1" applyBorder="1" applyAlignment="1">
      <alignment horizontal="center" vertical="top"/>
    </xf>
    <xf numFmtId="0" fontId="3" fillId="0" borderId="0" xfId="0" applyFont="1" applyAlignment="1">
      <alignment horizontal="left" vertical="top"/>
    </xf>
    <xf numFmtId="0" fontId="7" fillId="0" borderId="0" xfId="0" applyFont="1" applyAlignment="1">
      <alignment horizontal="left" vertical="center"/>
    </xf>
    <xf numFmtId="0" fontId="7" fillId="0" borderId="0" xfId="0" applyFont="1" applyAlignment="1">
      <alignment horizontal="left"/>
    </xf>
    <xf numFmtId="0" fontId="0" fillId="0" borderId="8" xfId="0" applyBorder="1" applyAlignment="1">
      <alignment horizontal="left" vertical="top"/>
    </xf>
    <xf numFmtId="0" fontId="16" fillId="0" borderId="0" xfId="0" applyFont="1" applyAlignment="1">
      <alignment horizontal="center" vertical="center"/>
    </xf>
    <xf numFmtId="0" fontId="18" fillId="0" borderId="1" xfId="0" applyFont="1" applyFill="1" applyBorder="1" applyAlignment="1">
      <alignment horizontal="center" vertical="center"/>
    </xf>
    <xf numFmtId="0" fontId="19" fillId="0" borderId="8" xfId="0" applyFont="1" applyFill="1" applyBorder="1" applyAlignment="1">
      <alignment horizontal="center" vertical="center"/>
    </xf>
    <xf numFmtId="1" fontId="19" fillId="0" borderId="6" xfId="0" applyNumberFormat="1" applyFont="1" applyFill="1" applyBorder="1" applyAlignment="1">
      <alignment horizontal="center" vertical="center"/>
    </xf>
    <xf numFmtId="1" fontId="18" fillId="0" borderId="1" xfId="0" applyNumberFormat="1" applyFont="1" applyFill="1" applyBorder="1" applyAlignment="1">
      <alignment horizontal="center" vertical="center"/>
    </xf>
    <xf numFmtId="2" fontId="15" fillId="0" borderId="2" xfId="0" applyNumberFormat="1" applyFont="1" applyFill="1" applyBorder="1" applyAlignment="1">
      <alignment horizontal="center" vertical="center"/>
    </xf>
    <xf numFmtId="2" fontId="18" fillId="0" borderId="1" xfId="0" applyNumberFormat="1" applyFont="1" applyFill="1" applyBorder="1" applyAlignment="1">
      <alignment horizontal="center" vertical="center"/>
    </xf>
    <xf numFmtId="164" fontId="18" fillId="0" borderId="1" xfId="0" applyNumberFormat="1" applyFont="1" applyFill="1" applyBorder="1" applyAlignment="1">
      <alignment horizontal="center" vertical="center"/>
    </xf>
    <xf numFmtId="1" fontId="15" fillId="0" borderId="2" xfId="0" applyNumberFormat="1" applyFont="1" applyFill="1" applyBorder="1" applyAlignment="1">
      <alignment horizontal="center" vertical="center"/>
    </xf>
    <xf numFmtId="164" fontId="15" fillId="0" borderId="2" xfId="0" applyNumberFormat="1" applyFont="1" applyFill="1" applyBorder="1" applyAlignment="1">
      <alignment horizontal="center" vertical="center"/>
    </xf>
    <xf numFmtId="0" fontId="18" fillId="0" borderId="6" xfId="0" applyFont="1" applyFill="1" applyBorder="1" applyAlignment="1">
      <alignment horizontal="center" vertical="center"/>
    </xf>
    <xf numFmtId="0" fontId="19" fillId="0" borderId="1" xfId="0" applyFont="1" applyFill="1" applyBorder="1" applyAlignment="1">
      <alignment horizontal="center" vertical="center"/>
    </xf>
    <xf numFmtId="1" fontId="18" fillId="0" borderId="6" xfId="0" applyNumberFormat="1" applyFont="1" applyFill="1" applyBorder="1" applyAlignment="1">
      <alignment horizontal="center" vertical="center"/>
    </xf>
    <xf numFmtId="1" fontId="19" fillId="0" borderId="1" xfId="0" applyNumberFormat="1" applyFont="1" applyFill="1" applyBorder="1" applyAlignment="1">
      <alignment horizontal="center" vertical="center"/>
    </xf>
    <xf numFmtId="1" fontId="15" fillId="0" borderId="9" xfId="0" applyNumberFormat="1" applyFont="1" applyFill="1" applyBorder="1" applyAlignment="1">
      <alignment horizontal="center" vertical="center"/>
    </xf>
    <xf numFmtId="2" fontId="17" fillId="0" borderId="2" xfId="0" applyNumberFormat="1" applyFont="1" applyFill="1" applyBorder="1" applyAlignment="1">
      <alignment horizontal="center" vertical="center"/>
    </xf>
    <xf numFmtId="2" fontId="19" fillId="0" borderId="1" xfId="0" applyNumberFormat="1" applyFont="1" applyFill="1" applyBorder="1" applyAlignment="1">
      <alignment horizontal="center" vertical="center"/>
    </xf>
    <xf numFmtId="0" fontId="20"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3" fontId="13" fillId="0" borderId="0" xfId="0" applyNumberFormat="1"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0</xdr:col>
      <xdr:colOff>0</xdr:colOff>
      <xdr:row>156</xdr:row>
      <xdr:rowOff>890523</xdr:rowOff>
    </xdr:from>
    <xdr:ext cx="6480175" cy="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6480175" cy="0"/>
        </a:xfrm>
        <a:custGeom>
          <a:avLst/>
          <a:gdLst/>
          <a:ahLst/>
          <a:cxnLst/>
          <a:rect l="0" t="0" r="0" b="0"/>
          <a:pathLst>
            <a:path w="6480175">
              <a:moveTo>
                <a:pt x="6480048" y="0"/>
              </a:moveTo>
              <a:lnTo>
                <a:pt x="0" y="0"/>
              </a:lnTo>
            </a:path>
          </a:pathLst>
        </a:custGeom>
        <a:ln w="19050">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60"/>
  <sheetViews>
    <sheetView topLeftCell="B1" workbookViewId="0">
      <selection activeCell="Q31" sqref="Q31"/>
    </sheetView>
  </sheetViews>
  <sheetFormatPr defaultRowHeight="12.75" x14ac:dyDescent="0.2"/>
  <cols>
    <col min="1" max="1" width="19.83203125" customWidth="1"/>
    <col min="2" max="2" width="8" customWidth="1"/>
    <col min="3" max="3" width="19.83203125" customWidth="1"/>
    <col min="4" max="4" width="16.1640625" customWidth="1"/>
    <col min="5" max="5" width="10.5" customWidth="1"/>
    <col min="6" max="6" width="14" customWidth="1"/>
    <col min="7" max="7" width="11.5" customWidth="1"/>
    <col min="8" max="8" width="4.6640625" customWidth="1"/>
    <col min="9" max="9" width="14" customWidth="1"/>
    <col min="10" max="10" width="10.5" customWidth="1"/>
    <col min="14" max="14" width="18.1640625" customWidth="1"/>
    <col min="16" max="16" width="30" customWidth="1"/>
    <col min="17" max="17" width="21" customWidth="1"/>
    <col min="22" max="22" width="29.33203125" customWidth="1"/>
  </cols>
  <sheetData>
    <row r="1" spans="1:22" ht="63.75" customHeight="1" x14ac:dyDescent="0.2">
      <c r="A1" s="4" t="s">
        <v>0</v>
      </c>
      <c r="B1" s="4"/>
      <c r="C1" s="4"/>
      <c r="D1" s="4"/>
      <c r="E1" s="4"/>
      <c r="F1" s="4"/>
      <c r="G1" s="4"/>
      <c r="H1" s="4"/>
      <c r="I1" s="4"/>
      <c r="J1" s="4"/>
    </row>
    <row r="2" spans="1:22" ht="17.25" customHeight="1" x14ac:dyDescent="0.2">
      <c r="A2" s="5"/>
      <c r="B2" s="6" t="s">
        <v>1</v>
      </c>
      <c r="C2" s="7"/>
      <c r="D2" s="7"/>
      <c r="E2" s="7"/>
      <c r="F2" s="7"/>
      <c r="G2" s="8"/>
      <c r="H2" s="5"/>
      <c r="I2" s="5"/>
      <c r="J2" s="5"/>
    </row>
    <row r="3" spans="1:22" ht="15.95" customHeight="1" x14ac:dyDescent="0.2">
      <c r="A3" s="5"/>
      <c r="B3" s="5"/>
      <c r="C3" s="5"/>
      <c r="D3" s="5"/>
      <c r="E3" s="5"/>
      <c r="F3" s="5"/>
      <c r="G3" s="5"/>
      <c r="H3" s="5"/>
      <c r="I3" s="5"/>
      <c r="J3" s="5"/>
      <c r="N3" s="2" t="s">
        <v>60</v>
      </c>
      <c r="O3" s="2" t="s">
        <v>61</v>
      </c>
      <c r="P3" s="2"/>
      <c r="Q3" s="2" t="s">
        <v>62</v>
      </c>
      <c r="R3" s="2" t="s">
        <v>63</v>
      </c>
      <c r="S3" s="2" t="s">
        <v>64</v>
      </c>
      <c r="T3" s="3" t="s">
        <v>66</v>
      </c>
      <c r="U3" s="3"/>
      <c r="V3" s="2" t="s">
        <v>68</v>
      </c>
    </row>
    <row r="4" spans="1:22" ht="15.75" customHeight="1" x14ac:dyDescent="0.2">
      <c r="A4" s="9" t="s">
        <v>59</v>
      </c>
      <c r="B4" s="10" t="s">
        <v>3</v>
      </c>
      <c r="C4" s="11" t="s">
        <v>4</v>
      </c>
      <c r="D4" s="12" t="s">
        <v>5</v>
      </c>
      <c r="E4" s="13"/>
      <c r="F4" s="14"/>
      <c r="G4" s="12" t="s">
        <v>6</v>
      </c>
      <c r="H4" s="13"/>
      <c r="I4" s="14"/>
      <c r="J4" s="5"/>
      <c r="N4" s="15" t="s">
        <v>12</v>
      </c>
      <c r="O4" s="16">
        <v>25</v>
      </c>
      <c r="P4" s="15" t="s">
        <v>16</v>
      </c>
      <c r="Q4" s="16">
        <v>38</v>
      </c>
      <c r="R4" s="16">
        <v>3</v>
      </c>
      <c r="S4" s="16">
        <v>31</v>
      </c>
      <c r="T4" s="17">
        <v>7.89</v>
      </c>
      <c r="U4" s="18"/>
      <c r="V4" s="16">
        <v>12</v>
      </c>
    </row>
    <row r="5" spans="1:22" ht="56.1" customHeight="1" x14ac:dyDescent="0.2">
      <c r="A5" s="19"/>
      <c r="B5" s="19"/>
      <c r="C5" s="20"/>
      <c r="D5" s="21" t="s">
        <v>7</v>
      </c>
      <c r="E5" s="21" t="s">
        <v>8</v>
      </c>
      <c r="F5" s="22" t="s">
        <v>9</v>
      </c>
      <c r="G5" s="23" t="s">
        <v>65</v>
      </c>
      <c r="H5" s="24"/>
      <c r="I5" s="25" t="s">
        <v>67</v>
      </c>
      <c r="N5" s="26" t="s">
        <v>58</v>
      </c>
      <c r="O5" s="16">
        <v>2</v>
      </c>
      <c r="P5" s="26" t="s">
        <v>57</v>
      </c>
      <c r="Q5" s="16">
        <v>1</v>
      </c>
      <c r="R5" s="16">
        <v>0</v>
      </c>
      <c r="S5" s="16">
        <v>1</v>
      </c>
      <c r="T5" s="27">
        <v>0</v>
      </c>
      <c r="U5" s="28"/>
      <c r="V5" s="16">
        <v>0</v>
      </c>
    </row>
    <row r="6" spans="1:22" ht="15.95" customHeight="1" x14ac:dyDescent="0.2">
      <c r="A6" s="15" t="s">
        <v>12</v>
      </c>
      <c r="B6" s="16">
        <v>20</v>
      </c>
      <c r="C6" s="15" t="s">
        <v>13</v>
      </c>
      <c r="D6" s="16">
        <v>31</v>
      </c>
      <c r="E6" s="16">
        <v>2</v>
      </c>
      <c r="F6" s="16">
        <v>26</v>
      </c>
      <c r="G6" s="17">
        <v>5.26</v>
      </c>
      <c r="H6" s="18"/>
      <c r="I6" s="16">
        <v>8</v>
      </c>
      <c r="J6" s="5"/>
      <c r="N6" s="15" t="s">
        <v>18</v>
      </c>
      <c r="O6" s="16">
        <v>14</v>
      </c>
      <c r="P6" s="15" t="s">
        <v>16</v>
      </c>
      <c r="Q6" s="16">
        <v>12</v>
      </c>
      <c r="R6" s="16">
        <v>1</v>
      </c>
      <c r="S6" s="16">
        <v>9</v>
      </c>
      <c r="T6" s="17">
        <v>8.33</v>
      </c>
      <c r="U6" s="18"/>
      <c r="V6" s="29">
        <v>7.14</v>
      </c>
    </row>
    <row r="7" spans="1:22" ht="15.95" customHeight="1" x14ac:dyDescent="0.2">
      <c r="A7" s="30"/>
      <c r="B7" s="16">
        <v>4</v>
      </c>
      <c r="C7" s="15" t="s">
        <v>14</v>
      </c>
      <c r="D7" s="16">
        <v>3</v>
      </c>
      <c r="E7" s="16">
        <v>0</v>
      </c>
      <c r="F7" s="16">
        <v>3</v>
      </c>
      <c r="G7" s="27">
        <v>0</v>
      </c>
      <c r="H7" s="28"/>
      <c r="I7" s="16">
        <v>0</v>
      </c>
      <c r="J7" s="5"/>
      <c r="N7" s="15" t="s">
        <v>19</v>
      </c>
      <c r="O7" s="16">
        <v>40</v>
      </c>
      <c r="P7" s="15" t="s">
        <v>16</v>
      </c>
      <c r="Q7" s="16">
        <v>39</v>
      </c>
      <c r="R7" s="16">
        <v>5</v>
      </c>
      <c r="S7" s="16">
        <v>29</v>
      </c>
      <c r="T7" s="31">
        <v>12.82</v>
      </c>
      <c r="U7" s="32"/>
      <c r="V7" s="33">
        <v>12.5</v>
      </c>
    </row>
    <row r="8" spans="1:22" ht="15.95" customHeight="1" x14ac:dyDescent="0.2">
      <c r="A8" s="30"/>
      <c r="B8" s="16">
        <v>1</v>
      </c>
      <c r="C8" s="15" t="s">
        <v>15</v>
      </c>
      <c r="D8" s="16">
        <v>4</v>
      </c>
      <c r="E8" s="16">
        <v>1</v>
      </c>
      <c r="F8" s="16">
        <v>2</v>
      </c>
      <c r="G8" s="17">
        <v>2.63</v>
      </c>
      <c r="H8" s="18"/>
      <c r="I8" s="16">
        <v>4</v>
      </c>
      <c r="J8" s="5"/>
      <c r="N8" s="15" t="s">
        <v>20</v>
      </c>
      <c r="O8" s="16">
        <v>2</v>
      </c>
      <c r="P8" s="15" t="s">
        <v>16</v>
      </c>
      <c r="Q8" s="16">
        <v>3</v>
      </c>
      <c r="R8" s="16">
        <v>0</v>
      </c>
      <c r="S8" s="16">
        <v>2</v>
      </c>
      <c r="T8" s="27">
        <v>0</v>
      </c>
      <c r="U8" s="28"/>
      <c r="V8" s="16">
        <v>0</v>
      </c>
    </row>
    <row r="9" spans="1:22" ht="17.100000000000001" customHeight="1" x14ac:dyDescent="0.2">
      <c r="A9" s="15" t="s">
        <v>12</v>
      </c>
      <c r="B9" s="16">
        <v>25</v>
      </c>
      <c r="C9" s="15" t="s">
        <v>16</v>
      </c>
      <c r="D9" s="16">
        <v>38</v>
      </c>
      <c r="E9" s="16">
        <v>3</v>
      </c>
      <c r="F9" s="16">
        <v>31</v>
      </c>
      <c r="G9" s="17">
        <v>7.89</v>
      </c>
      <c r="H9" s="18"/>
      <c r="I9" s="16">
        <v>12</v>
      </c>
      <c r="J9" s="5"/>
      <c r="N9" s="15" t="s">
        <v>21</v>
      </c>
      <c r="O9" s="16">
        <v>25</v>
      </c>
      <c r="P9" s="15" t="s">
        <v>16</v>
      </c>
      <c r="Q9" s="16">
        <v>19</v>
      </c>
      <c r="R9" s="16">
        <v>4</v>
      </c>
      <c r="S9" s="16">
        <v>11</v>
      </c>
      <c r="T9" s="31">
        <v>21.05</v>
      </c>
      <c r="U9" s="32"/>
      <c r="V9" s="16">
        <v>16</v>
      </c>
    </row>
    <row r="10" spans="1:22" ht="29.1" customHeight="1" x14ac:dyDescent="0.2">
      <c r="A10" s="15" t="s">
        <v>17</v>
      </c>
      <c r="B10" s="16">
        <v>2</v>
      </c>
      <c r="C10" s="15" t="s">
        <v>13</v>
      </c>
      <c r="D10" s="16">
        <v>1</v>
      </c>
      <c r="E10" s="16">
        <v>0</v>
      </c>
      <c r="F10" s="16">
        <v>1</v>
      </c>
      <c r="G10" s="27">
        <v>0</v>
      </c>
      <c r="H10" s="28"/>
      <c r="I10" s="16">
        <v>0</v>
      </c>
      <c r="J10" s="34"/>
      <c r="N10" s="15" t="s">
        <v>22</v>
      </c>
      <c r="O10" s="16">
        <v>10</v>
      </c>
      <c r="P10" s="15" t="s">
        <v>16</v>
      </c>
      <c r="Q10" s="16">
        <v>16</v>
      </c>
      <c r="R10" s="16">
        <v>1</v>
      </c>
      <c r="S10" s="16">
        <v>14</v>
      </c>
      <c r="T10" s="17">
        <v>6.25</v>
      </c>
      <c r="U10" s="18"/>
      <c r="V10" s="16">
        <v>10</v>
      </c>
    </row>
    <row r="11" spans="1:22" ht="15.95" customHeight="1" x14ac:dyDescent="0.2">
      <c r="A11" s="30"/>
      <c r="B11" s="16">
        <v>0</v>
      </c>
      <c r="C11" s="15" t="s">
        <v>14</v>
      </c>
      <c r="D11" s="16">
        <v>0</v>
      </c>
      <c r="E11" s="16">
        <v>0</v>
      </c>
      <c r="F11" s="16">
        <v>0</v>
      </c>
      <c r="G11" s="27">
        <v>0</v>
      </c>
      <c r="H11" s="28"/>
      <c r="I11" s="16">
        <v>0</v>
      </c>
      <c r="J11" s="5"/>
      <c r="N11" s="15" t="s">
        <v>23</v>
      </c>
      <c r="O11" s="16">
        <v>4</v>
      </c>
      <c r="P11" s="15" t="s">
        <v>16</v>
      </c>
      <c r="Q11" s="16">
        <v>3</v>
      </c>
      <c r="R11" s="16">
        <v>1</v>
      </c>
      <c r="S11" s="16">
        <v>2</v>
      </c>
      <c r="T11" s="31">
        <v>33.33</v>
      </c>
      <c r="U11" s="32"/>
      <c r="V11" s="16">
        <v>25</v>
      </c>
    </row>
    <row r="12" spans="1:22" ht="15.95" customHeight="1" x14ac:dyDescent="0.2">
      <c r="A12" s="30"/>
      <c r="B12" s="16">
        <v>0</v>
      </c>
      <c r="C12" s="15" t="s">
        <v>15</v>
      </c>
      <c r="D12" s="16">
        <v>0</v>
      </c>
      <c r="E12" s="16">
        <v>0</v>
      </c>
      <c r="F12" s="16">
        <v>0</v>
      </c>
      <c r="G12" s="27">
        <v>0</v>
      </c>
      <c r="H12" s="28"/>
      <c r="I12" s="16">
        <v>0</v>
      </c>
      <c r="J12" s="5"/>
      <c r="N12" s="15" t="s">
        <v>24</v>
      </c>
      <c r="O12" s="16">
        <v>28</v>
      </c>
      <c r="P12" s="15" t="s">
        <v>16</v>
      </c>
      <c r="Q12" s="16">
        <v>42</v>
      </c>
      <c r="R12" s="16">
        <v>3</v>
      </c>
      <c r="S12" s="16">
        <v>34</v>
      </c>
      <c r="T12" s="17">
        <v>7.14</v>
      </c>
      <c r="U12" s="18"/>
      <c r="V12" s="29">
        <v>10.71</v>
      </c>
    </row>
    <row r="13" spans="1:22" ht="30" customHeight="1" x14ac:dyDescent="0.2">
      <c r="A13" s="15" t="s">
        <v>17</v>
      </c>
      <c r="B13" s="16">
        <v>2</v>
      </c>
      <c r="C13" s="15" t="s">
        <v>16</v>
      </c>
      <c r="D13" s="16">
        <v>1</v>
      </c>
      <c r="E13" s="16">
        <v>0</v>
      </c>
      <c r="F13" s="16">
        <v>1</v>
      </c>
      <c r="G13" s="27">
        <v>0</v>
      </c>
      <c r="H13" s="28"/>
      <c r="I13" s="16">
        <v>0</v>
      </c>
      <c r="J13" s="34"/>
      <c r="N13" s="15" t="s">
        <v>25</v>
      </c>
      <c r="O13" s="16">
        <v>20</v>
      </c>
      <c r="P13" s="15" t="s">
        <v>16</v>
      </c>
      <c r="Q13" s="16">
        <v>25</v>
      </c>
      <c r="R13" s="16">
        <v>0</v>
      </c>
      <c r="S13" s="16">
        <v>18</v>
      </c>
      <c r="T13" s="27">
        <v>0</v>
      </c>
      <c r="U13" s="28"/>
      <c r="V13" s="16">
        <v>0</v>
      </c>
    </row>
    <row r="14" spans="1:22" ht="15.95" customHeight="1" x14ac:dyDescent="0.2">
      <c r="A14" s="15" t="s">
        <v>18</v>
      </c>
      <c r="B14" s="16">
        <v>11</v>
      </c>
      <c r="C14" s="15" t="s">
        <v>13</v>
      </c>
      <c r="D14" s="16">
        <v>10</v>
      </c>
      <c r="E14" s="16">
        <v>1</v>
      </c>
      <c r="F14" s="16">
        <v>7</v>
      </c>
      <c r="G14" s="17">
        <v>8.33</v>
      </c>
      <c r="H14" s="18"/>
      <c r="I14" s="29">
        <v>7.14</v>
      </c>
      <c r="J14" s="5"/>
      <c r="N14" s="15" t="s">
        <v>26</v>
      </c>
      <c r="O14" s="16">
        <v>29</v>
      </c>
      <c r="P14" s="15" t="s">
        <v>16</v>
      </c>
      <c r="Q14" s="16">
        <v>26</v>
      </c>
      <c r="R14" s="16">
        <v>6</v>
      </c>
      <c r="S14" s="16">
        <v>19</v>
      </c>
      <c r="T14" s="17">
        <v>23.08</v>
      </c>
      <c r="U14" s="18"/>
      <c r="V14" s="29">
        <v>20.69</v>
      </c>
    </row>
    <row r="15" spans="1:22" ht="15.95" customHeight="1" x14ac:dyDescent="0.2">
      <c r="A15" s="30"/>
      <c r="B15" s="16">
        <v>1</v>
      </c>
      <c r="C15" s="15" t="s">
        <v>14</v>
      </c>
      <c r="D15" s="16">
        <v>0</v>
      </c>
      <c r="E15" s="16">
        <v>0</v>
      </c>
      <c r="F15" s="16">
        <v>0</v>
      </c>
      <c r="G15" s="27">
        <v>0</v>
      </c>
      <c r="H15" s="28"/>
      <c r="I15" s="16">
        <v>0</v>
      </c>
      <c r="J15" s="5"/>
      <c r="N15" s="15" t="s">
        <v>27</v>
      </c>
      <c r="O15" s="16">
        <v>48</v>
      </c>
      <c r="P15" s="15" t="s">
        <v>16</v>
      </c>
      <c r="Q15" s="16">
        <v>111</v>
      </c>
      <c r="R15" s="16">
        <v>7</v>
      </c>
      <c r="S15" s="16">
        <v>94</v>
      </c>
      <c r="T15" s="17">
        <v>6.31</v>
      </c>
      <c r="U15" s="18"/>
      <c r="V15" s="29">
        <v>14.58</v>
      </c>
    </row>
    <row r="16" spans="1:22" ht="15.95" customHeight="1" x14ac:dyDescent="0.2">
      <c r="A16" s="30"/>
      <c r="B16" s="16">
        <v>2</v>
      </c>
      <c r="C16" s="15" t="s">
        <v>15</v>
      </c>
      <c r="D16" s="16">
        <v>2</v>
      </c>
      <c r="E16" s="16">
        <v>0</v>
      </c>
      <c r="F16" s="16">
        <v>2</v>
      </c>
      <c r="G16" s="27">
        <v>0</v>
      </c>
      <c r="H16" s="28"/>
      <c r="I16" s="16">
        <v>0</v>
      </c>
      <c r="J16" s="5"/>
      <c r="N16" s="15" t="s">
        <v>28</v>
      </c>
      <c r="O16" s="16">
        <v>2</v>
      </c>
      <c r="P16" s="15" t="s">
        <v>16</v>
      </c>
      <c r="Q16" s="16">
        <v>0</v>
      </c>
      <c r="R16" s="16">
        <v>0</v>
      </c>
      <c r="S16" s="16">
        <v>0</v>
      </c>
      <c r="T16" s="27">
        <v>0</v>
      </c>
      <c r="U16" s="28"/>
      <c r="V16" s="16">
        <v>0</v>
      </c>
    </row>
    <row r="17" spans="1:22" ht="15.95" customHeight="1" x14ac:dyDescent="0.2">
      <c r="A17" s="15" t="s">
        <v>18</v>
      </c>
      <c r="B17" s="16">
        <v>14</v>
      </c>
      <c r="C17" s="15" t="s">
        <v>16</v>
      </c>
      <c r="D17" s="16">
        <v>12</v>
      </c>
      <c r="E17" s="16">
        <v>1</v>
      </c>
      <c r="F17" s="16">
        <v>9</v>
      </c>
      <c r="G17" s="17">
        <v>8.33</v>
      </c>
      <c r="H17" s="18"/>
      <c r="I17" s="29">
        <v>7.14</v>
      </c>
      <c r="J17" s="5"/>
      <c r="N17" s="15" t="s">
        <v>29</v>
      </c>
      <c r="O17" s="16">
        <v>2</v>
      </c>
      <c r="P17" s="15" t="s">
        <v>16</v>
      </c>
      <c r="Q17" s="16">
        <v>2</v>
      </c>
      <c r="R17" s="16">
        <v>0</v>
      </c>
      <c r="S17" s="16">
        <v>0</v>
      </c>
      <c r="T17" s="27">
        <v>0</v>
      </c>
      <c r="U17" s="28"/>
      <c r="V17" s="16">
        <v>0</v>
      </c>
    </row>
    <row r="18" spans="1:22" ht="15.95" customHeight="1" x14ac:dyDescent="0.2">
      <c r="A18" s="15" t="s">
        <v>19</v>
      </c>
      <c r="B18" s="16">
        <v>34</v>
      </c>
      <c r="C18" s="15" t="s">
        <v>13</v>
      </c>
      <c r="D18" s="16">
        <v>34</v>
      </c>
      <c r="E18" s="16">
        <v>4</v>
      </c>
      <c r="F18" s="16">
        <v>26</v>
      </c>
      <c r="G18" s="31">
        <v>10.26</v>
      </c>
      <c r="H18" s="32"/>
      <c r="I18" s="16">
        <v>10</v>
      </c>
      <c r="J18" s="5"/>
      <c r="N18" s="15" t="s">
        <v>30</v>
      </c>
      <c r="O18" s="16">
        <v>1</v>
      </c>
      <c r="P18" s="15" t="s">
        <v>16</v>
      </c>
      <c r="Q18" s="16">
        <v>1</v>
      </c>
      <c r="R18" s="16">
        <v>0</v>
      </c>
      <c r="S18" s="16">
        <v>1</v>
      </c>
      <c r="T18" s="27">
        <v>0</v>
      </c>
      <c r="U18" s="28"/>
      <c r="V18" s="16">
        <v>0</v>
      </c>
    </row>
    <row r="19" spans="1:22" ht="15.95" customHeight="1" x14ac:dyDescent="0.2">
      <c r="A19" s="30"/>
      <c r="B19" s="16">
        <v>6</v>
      </c>
      <c r="C19" s="15" t="s">
        <v>14</v>
      </c>
      <c r="D19" s="16">
        <v>5</v>
      </c>
      <c r="E19" s="16">
        <v>1</v>
      </c>
      <c r="F19" s="16">
        <v>3</v>
      </c>
      <c r="G19" s="17">
        <v>2.56</v>
      </c>
      <c r="H19" s="18"/>
      <c r="I19" s="33">
        <v>2.5</v>
      </c>
      <c r="J19" s="5"/>
      <c r="N19" s="15" t="s">
        <v>31</v>
      </c>
      <c r="O19" s="16">
        <v>1</v>
      </c>
      <c r="P19" s="15" t="s">
        <v>16</v>
      </c>
      <c r="Q19" s="16">
        <v>0</v>
      </c>
      <c r="R19" s="16">
        <v>0</v>
      </c>
      <c r="S19" s="16">
        <v>0</v>
      </c>
      <c r="T19" s="27">
        <v>0</v>
      </c>
      <c r="U19" s="28"/>
      <c r="V19" s="16">
        <v>0</v>
      </c>
    </row>
    <row r="20" spans="1:22" ht="17.100000000000001" customHeight="1" x14ac:dyDescent="0.2">
      <c r="A20" s="30"/>
      <c r="B20" s="16">
        <v>0</v>
      </c>
      <c r="C20" s="15" t="s">
        <v>15</v>
      </c>
      <c r="D20" s="16">
        <v>0</v>
      </c>
      <c r="E20" s="16">
        <v>0</v>
      </c>
      <c r="F20" s="16">
        <v>0</v>
      </c>
      <c r="G20" s="27">
        <v>0</v>
      </c>
      <c r="H20" s="28"/>
      <c r="I20" s="16">
        <v>0</v>
      </c>
      <c r="J20" s="5"/>
      <c r="N20" s="15" t="s">
        <v>32</v>
      </c>
      <c r="O20" s="16">
        <v>21</v>
      </c>
      <c r="P20" s="15" t="s">
        <v>16</v>
      </c>
      <c r="Q20" s="16">
        <v>33</v>
      </c>
      <c r="R20" s="16">
        <v>4</v>
      </c>
      <c r="S20" s="16">
        <v>21</v>
      </c>
      <c r="T20" s="17">
        <v>12.12</v>
      </c>
      <c r="U20" s="18"/>
      <c r="V20" s="29">
        <v>19.05</v>
      </c>
    </row>
    <row r="21" spans="1:22" ht="15.95" customHeight="1" x14ac:dyDescent="0.2">
      <c r="A21" s="15" t="s">
        <v>19</v>
      </c>
      <c r="B21" s="16">
        <v>40</v>
      </c>
      <c r="C21" s="15" t="s">
        <v>16</v>
      </c>
      <c r="D21" s="16">
        <v>39</v>
      </c>
      <c r="E21" s="16">
        <v>5</v>
      </c>
      <c r="F21" s="16">
        <v>29</v>
      </c>
      <c r="G21" s="31">
        <v>12.82</v>
      </c>
      <c r="H21" s="32"/>
      <c r="I21" s="33">
        <v>12.5</v>
      </c>
      <c r="J21" s="5"/>
      <c r="N21" s="15" t="s">
        <v>33</v>
      </c>
      <c r="O21" s="16">
        <v>13</v>
      </c>
      <c r="P21" s="15" t="s">
        <v>16</v>
      </c>
      <c r="Q21" s="16">
        <v>26</v>
      </c>
      <c r="R21" s="16">
        <v>1</v>
      </c>
      <c r="S21" s="16">
        <v>22</v>
      </c>
      <c r="T21" s="17">
        <v>3.85</v>
      </c>
      <c r="U21" s="18"/>
      <c r="V21" s="29">
        <v>7.69</v>
      </c>
    </row>
    <row r="22" spans="1:22" ht="15.95" customHeight="1" x14ac:dyDescent="0.2">
      <c r="A22" s="15" t="s">
        <v>20</v>
      </c>
      <c r="B22" s="16">
        <v>2</v>
      </c>
      <c r="C22" s="15" t="s">
        <v>13</v>
      </c>
      <c r="D22" s="16">
        <v>3</v>
      </c>
      <c r="E22" s="16">
        <v>0</v>
      </c>
      <c r="F22" s="16">
        <v>2</v>
      </c>
      <c r="G22" s="27">
        <v>0</v>
      </c>
      <c r="H22" s="28"/>
      <c r="I22" s="16">
        <v>0</v>
      </c>
      <c r="J22" s="5"/>
      <c r="N22" s="15" t="s">
        <v>34</v>
      </c>
      <c r="O22" s="16">
        <v>25</v>
      </c>
      <c r="P22" s="15" t="s">
        <v>16</v>
      </c>
      <c r="Q22" s="16">
        <v>19</v>
      </c>
      <c r="R22" s="16">
        <v>3</v>
      </c>
      <c r="S22" s="16">
        <v>11</v>
      </c>
      <c r="T22" s="17">
        <v>15.79</v>
      </c>
      <c r="U22" s="18"/>
      <c r="V22" s="16">
        <v>12</v>
      </c>
    </row>
    <row r="23" spans="1:22" ht="15.95" customHeight="1" x14ac:dyDescent="0.2">
      <c r="A23" s="30"/>
      <c r="B23" s="16">
        <v>0</v>
      </c>
      <c r="C23" s="15" t="s">
        <v>14</v>
      </c>
      <c r="D23" s="16">
        <v>0</v>
      </c>
      <c r="E23" s="16">
        <v>0</v>
      </c>
      <c r="F23" s="16">
        <v>0</v>
      </c>
      <c r="G23" s="27">
        <v>0</v>
      </c>
      <c r="H23" s="28"/>
      <c r="I23" s="16">
        <v>0</v>
      </c>
      <c r="J23" s="5"/>
      <c r="N23" s="15" t="s">
        <v>35</v>
      </c>
      <c r="O23" s="16">
        <v>1</v>
      </c>
      <c r="P23" s="15" t="s">
        <v>16</v>
      </c>
      <c r="Q23" s="16">
        <v>1</v>
      </c>
      <c r="R23" s="16">
        <v>0</v>
      </c>
      <c r="S23" s="16">
        <v>1</v>
      </c>
      <c r="T23" s="27">
        <v>0</v>
      </c>
      <c r="U23" s="28"/>
      <c r="V23" s="16">
        <v>0</v>
      </c>
    </row>
    <row r="24" spans="1:22" ht="15.95" customHeight="1" x14ac:dyDescent="0.2">
      <c r="A24" s="30"/>
      <c r="B24" s="16">
        <v>0</v>
      </c>
      <c r="C24" s="15" t="s">
        <v>15</v>
      </c>
      <c r="D24" s="16">
        <v>0</v>
      </c>
      <c r="E24" s="16">
        <v>0</v>
      </c>
      <c r="F24" s="16">
        <v>0</v>
      </c>
      <c r="G24" s="27">
        <v>0</v>
      </c>
      <c r="H24" s="28"/>
      <c r="I24" s="16">
        <v>0</v>
      </c>
      <c r="J24" s="5"/>
      <c r="N24" s="15" t="s">
        <v>36</v>
      </c>
      <c r="O24" s="16">
        <v>39</v>
      </c>
      <c r="P24" s="15" t="s">
        <v>16</v>
      </c>
      <c r="Q24" s="16">
        <v>77</v>
      </c>
      <c r="R24" s="16">
        <v>5</v>
      </c>
      <c r="S24" s="16">
        <v>70</v>
      </c>
      <c r="T24" s="17">
        <v>6.49</v>
      </c>
      <c r="U24" s="18"/>
      <c r="V24" s="29">
        <v>12.82</v>
      </c>
    </row>
    <row r="25" spans="1:22" ht="15.95" customHeight="1" x14ac:dyDescent="0.2">
      <c r="A25" s="15" t="s">
        <v>20</v>
      </c>
      <c r="B25" s="16">
        <v>2</v>
      </c>
      <c r="C25" s="15" t="s">
        <v>16</v>
      </c>
      <c r="D25" s="16">
        <v>3</v>
      </c>
      <c r="E25" s="16">
        <v>0</v>
      </c>
      <c r="F25" s="16">
        <v>2</v>
      </c>
      <c r="G25" s="27">
        <v>0</v>
      </c>
      <c r="H25" s="28"/>
      <c r="I25" s="16">
        <v>0</v>
      </c>
      <c r="J25" s="5"/>
      <c r="N25" s="15" t="s">
        <v>37</v>
      </c>
      <c r="O25" s="16">
        <v>2</v>
      </c>
      <c r="P25" s="15" t="s">
        <v>16</v>
      </c>
      <c r="Q25" s="16">
        <v>2</v>
      </c>
      <c r="R25" s="16">
        <v>1</v>
      </c>
      <c r="S25" s="16">
        <v>1</v>
      </c>
      <c r="T25" s="27">
        <v>50</v>
      </c>
      <c r="U25" s="28"/>
      <c r="V25" s="16">
        <v>50</v>
      </c>
    </row>
    <row r="26" spans="1:22" ht="15.95" customHeight="1" x14ac:dyDescent="0.2">
      <c r="A26" s="15" t="s">
        <v>21</v>
      </c>
      <c r="B26" s="16">
        <v>20</v>
      </c>
      <c r="C26" s="15" t="s">
        <v>13</v>
      </c>
      <c r="D26" s="16">
        <v>15</v>
      </c>
      <c r="E26" s="16">
        <v>4</v>
      </c>
      <c r="F26" s="16">
        <v>8</v>
      </c>
      <c r="G26" s="31">
        <v>21.05</v>
      </c>
      <c r="H26" s="32"/>
      <c r="I26" s="16">
        <v>16</v>
      </c>
      <c r="J26" s="5"/>
      <c r="N26" s="15" t="s">
        <v>38</v>
      </c>
      <c r="O26" s="16">
        <v>80</v>
      </c>
      <c r="P26" s="15" t="s">
        <v>16</v>
      </c>
      <c r="Q26" s="16">
        <v>80</v>
      </c>
      <c r="R26" s="16">
        <v>7</v>
      </c>
      <c r="S26" s="16">
        <v>57</v>
      </c>
      <c r="T26" s="17">
        <v>8.75</v>
      </c>
      <c r="U26" s="18"/>
      <c r="V26" s="29">
        <v>8.75</v>
      </c>
    </row>
    <row r="27" spans="1:22" ht="17.100000000000001" customHeight="1" x14ac:dyDescent="0.2">
      <c r="A27" s="30"/>
      <c r="B27" s="16">
        <v>2</v>
      </c>
      <c r="C27" s="15" t="s">
        <v>14</v>
      </c>
      <c r="D27" s="16">
        <v>2</v>
      </c>
      <c r="E27" s="16">
        <v>0</v>
      </c>
      <c r="F27" s="16">
        <v>2</v>
      </c>
      <c r="G27" s="27">
        <v>0</v>
      </c>
      <c r="H27" s="28"/>
      <c r="I27" s="16">
        <v>0</v>
      </c>
      <c r="J27" s="5"/>
      <c r="N27" s="15" t="s">
        <v>39</v>
      </c>
      <c r="O27" s="16">
        <v>42</v>
      </c>
      <c r="P27" s="15" t="s">
        <v>16</v>
      </c>
      <c r="Q27" s="16">
        <v>72</v>
      </c>
      <c r="R27" s="16">
        <v>11</v>
      </c>
      <c r="S27" s="16">
        <v>53</v>
      </c>
      <c r="T27" s="17">
        <v>15.28</v>
      </c>
      <c r="U27" s="18"/>
      <c r="V27" s="29">
        <v>26.19</v>
      </c>
    </row>
    <row r="28" spans="1:22" ht="15.95" customHeight="1" x14ac:dyDescent="0.2">
      <c r="A28" s="30"/>
      <c r="B28" s="16">
        <v>4</v>
      </c>
      <c r="C28" s="15" t="s">
        <v>15</v>
      </c>
      <c r="D28" s="16">
        <v>2</v>
      </c>
      <c r="E28" s="16">
        <v>0</v>
      </c>
      <c r="F28" s="16">
        <v>1</v>
      </c>
      <c r="G28" s="27">
        <v>0</v>
      </c>
      <c r="H28" s="28"/>
      <c r="I28" s="16">
        <v>0</v>
      </c>
      <c r="J28" s="5"/>
      <c r="N28" s="15" t="s">
        <v>40</v>
      </c>
      <c r="O28" s="16">
        <v>11</v>
      </c>
      <c r="P28" s="15" t="s">
        <v>16</v>
      </c>
      <c r="Q28" s="16">
        <v>29</v>
      </c>
      <c r="R28" s="16">
        <v>3</v>
      </c>
      <c r="S28" s="16">
        <v>23</v>
      </c>
      <c r="T28" s="17">
        <v>10.34</v>
      </c>
      <c r="U28" s="18"/>
      <c r="V28" s="29">
        <v>27.27</v>
      </c>
    </row>
    <row r="29" spans="1:22" ht="15.95" customHeight="1" x14ac:dyDescent="0.2">
      <c r="A29" s="15" t="s">
        <v>21</v>
      </c>
      <c r="B29" s="16">
        <v>25</v>
      </c>
      <c r="C29" s="15" t="s">
        <v>16</v>
      </c>
      <c r="D29" s="16">
        <v>19</v>
      </c>
      <c r="E29" s="16">
        <v>4</v>
      </c>
      <c r="F29" s="16">
        <v>11</v>
      </c>
      <c r="G29" s="31">
        <v>21.05</v>
      </c>
      <c r="H29" s="32"/>
      <c r="I29" s="16">
        <v>16</v>
      </c>
      <c r="J29" s="5"/>
      <c r="N29" s="15" t="s">
        <v>41</v>
      </c>
      <c r="O29" s="16">
        <v>14</v>
      </c>
      <c r="P29" s="15" t="s">
        <v>16</v>
      </c>
      <c r="Q29" s="16">
        <v>31</v>
      </c>
      <c r="R29" s="16">
        <v>2</v>
      </c>
      <c r="S29" s="16">
        <v>24</v>
      </c>
      <c r="T29" s="17">
        <v>6.45</v>
      </c>
      <c r="U29" s="18"/>
      <c r="V29" s="29">
        <v>14.29</v>
      </c>
    </row>
    <row r="30" spans="1:22" ht="15.95" customHeight="1" x14ac:dyDescent="0.2">
      <c r="A30" s="15" t="s">
        <v>22</v>
      </c>
      <c r="B30" s="16">
        <v>8</v>
      </c>
      <c r="C30" s="15" t="s">
        <v>13</v>
      </c>
      <c r="D30" s="16">
        <v>13</v>
      </c>
      <c r="E30" s="16">
        <v>0</v>
      </c>
      <c r="F30" s="16">
        <v>13</v>
      </c>
      <c r="G30" s="27">
        <v>0</v>
      </c>
      <c r="H30" s="28"/>
      <c r="I30" s="16">
        <v>0</v>
      </c>
      <c r="J30" s="5"/>
      <c r="N30" s="15" t="s">
        <v>42</v>
      </c>
      <c r="O30" s="16">
        <v>5</v>
      </c>
      <c r="P30" s="15" t="s">
        <v>16</v>
      </c>
      <c r="Q30" s="16">
        <v>4</v>
      </c>
      <c r="R30" s="16">
        <v>1</v>
      </c>
      <c r="S30" s="16">
        <v>3</v>
      </c>
      <c r="T30" s="27">
        <v>25</v>
      </c>
      <c r="U30" s="28"/>
      <c r="V30" s="16">
        <v>20</v>
      </c>
    </row>
    <row r="31" spans="1:22" ht="15.95" customHeight="1" x14ac:dyDescent="0.2">
      <c r="A31" s="30"/>
      <c r="B31" s="16">
        <v>2</v>
      </c>
      <c r="C31" s="15" t="s">
        <v>14</v>
      </c>
      <c r="D31" s="16">
        <v>3</v>
      </c>
      <c r="E31" s="16">
        <v>1</v>
      </c>
      <c r="F31" s="16">
        <v>1</v>
      </c>
      <c r="G31" s="17">
        <v>6.25</v>
      </c>
      <c r="H31" s="18"/>
      <c r="I31" s="16">
        <v>10</v>
      </c>
      <c r="J31" s="5"/>
      <c r="N31" s="15" t="s">
        <v>43</v>
      </c>
      <c r="O31" s="16">
        <v>17</v>
      </c>
      <c r="P31" s="15" t="s">
        <v>16</v>
      </c>
      <c r="Q31" s="16">
        <v>50</v>
      </c>
      <c r="R31" s="16">
        <v>2</v>
      </c>
      <c r="S31" s="16">
        <v>44</v>
      </c>
      <c r="T31" s="27">
        <v>4</v>
      </c>
      <c r="U31" s="28"/>
      <c r="V31" s="29">
        <v>11.76</v>
      </c>
    </row>
    <row r="32" spans="1:22" ht="15.95" customHeight="1" x14ac:dyDescent="0.2">
      <c r="A32" s="30"/>
      <c r="B32" s="16">
        <v>0</v>
      </c>
      <c r="C32" s="15" t="s">
        <v>15</v>
      </c>
      <c r="D32" s="16">
        <v>0</v>
      </c>
      <c r="E32" s="16">
        <v>0</v>
      </c>
      <c r="F32" s="16">
        <v>0</v>
      </c>
      <c r="G32" s="27">
        <v>0</v>
      </c>
      <c r="H32" s="28"/>
      <c r="I32" s="16">
        <v>0</v>
      </c>
      <c r="J32" s="5"/>
      <c r="N32" s="15" t="s">
        <v>44</v>
      </c>
      <c r="O32" s="16">
        <v>1</v>
      </c>
      <c r="P32" s="15" t="s">
        <v>16</v>
      </c>
      <c r="Q32" s="16">
        <v>2</v>
      </c>
      <c r="R32" s="16">
        <v>0</v>
      </c>
      <c r="S32" s="16">
        <v>2</v>
      </c>
      <c r="T32" s="27">
        <v>0</v>
      </c>
      <c r="U32" s="28"/>
      <c r="V32" s="16">
        <v>0</v>
      </c>
    </row>
    <row r="33" spans="1:22" ht="17.100000000000001" customHeight="1" x14ac:dyDescent="0.2">
      <c r="A33" s="15" t="s">
        <v>22</v>
      </c>
      <c r="B33" s="16">
        <v>10</v>
      </c>
      <c r="C33" s="15" t="s">
        <v>16</v>
      </c>
      <c r="D33" s="16">
        <v>16</v>
      </c>
      <c r="E33" s="16">
        <v>1</v>
      </c>
      <c r="F33" s="16">
        <v>14</v>
      </c>
      <c r="G33" s="17">
        <v>6.25</v>
      </c>
      <c r="H33" s="18"/>
      <c r="I33" s="16">
        <v>10</v>
      </c>
      <c r="J33" s="5"/>
      <c r="N33" s="15" t="s">
        <v>45</v>
      </c>
      <c r="O33" s="16">
        <v>1</v>
      </c>
      <c r="P33" s="15" t="s">
        <v>16</v>
      </c>
      <c r="Q33" s="16">
        <v>2</v>
      </c>
      <c r="R33" s="16">
        <v>0</v>
      </c>
      <c r="S33" s="16">
        <v>2</v>
      </c>
      <c r="T33" s="27">
        <v>0</v>
      </c>
      <c r="U33" s="28"/>
      <c r="V33" s="16">
        <v>0</v>
      </c>
    </row>
    <row r="34" spans="1:22" ht="29.1" customHeight="1" x14ac:dyDescent="0.2">
      <c r="A34" s="15" t="s">
        <v>23</v>
      </c>
      <c r="B34" s="16">
        <v>3</v>
      </c>
      <c r="C34" s="15" t="s">
        <v>13</v>
      </c>
      <c r="D34" s="16">
        <v>3</v>
      </c>
      <c r="E34" s="16">
        <v>1</v>
      </c>
      <c r="F34" s="16">
        <v>2</v>
      </c>
      <c r="G34" s="31">
        <v>33.33</v>
      </c>
      <c r="H34" s="32"/>
      <c r="I34" s="16">
        <v>25</v>
      </c>
      <c r="J34" s="34"/>
      <c r="N34" s="15" t="s">
        <v>46</v>
      </c>
      <c r="O34" s="35">
        <v>2</v>
      </c>
      <c r="P34" s="36" t="s">
        <v>16</v>
      </c>
      <c r="Q34" s="35">
        <v>1</v>
      </c>
      <c r="R34" s="35">
        <v>1</v>
      </c>
      <c r="S34" s="35">
        <v>0</v>
      </c>
      <c r="T34" s="37">
        <v>100</v>
      </c>
      <c r="U34" s="38"/>
      <c r="V34" s="35">
        <v>50</v>
      </c>
    </row>
    <row r="35" spans="1:22" ht="15.95" customHeight="1" x14ac:dyDescent="0.2">
      <c r="A35" s="30"/>
      <c r="B35" s="16">
        <v>1</v>
      </c>
      <c r="C35" s="15" t="s">
        <v>14</v>
      </c>
      <c r="D35" s="16">
        <v>0</v>
      </c>
      <c r="E35" s="16">
        <v>0</v>
      </c>
      <c r="F35" s="16">
        <v>0</v>
      </c>
      <c r="G35" s="27">
        <v>0</v>
      </c>
      <c r="H35" s="28"/>
      <c r="I35" s="16">
        <v>0</v>
      </c>
      <c r="J35" s="5"/>
      <c r="N35" s="15" t="s">
        <v>47</v>
      </c>
      <c r="O35" s="16">
        <v>7</v>
      </c>
      <c r="P35" s="15" t="s">
        <v>16</v>
      </c>
      <c r="Q35" s="16">
        <v>23</v>
      </c>
      <c r="R35" s="16">
        <v>2</v>
      </c>
      <c r="S35" s="16">
        <v>21</v>
      </c>
      <c r="T35" s="39">
        <v>8.6999999999999993</v>
      </c>
      <c r="U35" s="40"/>
      <c r="V35" s="29">
        <v>28.57</v>
      </c>
    </row>
    <row r="36" spans="1:22" ht="15.95" customHeight="1" x14ac:dyDescent="0.2">
      <c r="A36" s="30"/>
      <c r="B36" s="16">
        <v>0</v>
      </c>
      <c r="C36" s="15" t="s">
        <v>15</v>
      </c>
      <c r="D36" s="16">
        <v>0</v>
      </c>
      <c r="E36" s="16">
        <v>0</v>
      </c>
      <c r="F36" s="16">
        <v>0</v>
      </c>
      <c r="G36" s="27">
        <v>0</v>
      </c>
      <c r="H36" s="28"/>
      <c r="I36" s="16">
        <v>0</v>
      </c>
      <c r="J36" s="5"/>
      <c r="N36" s="15" t="s">
        <v>48</v>
      </c>
      <c r="O36" s="16">
        <v>1</v>
      </c>
      <c r="P36" s="15" t="s">
        <v>16</v>
      </c>
      <c r="Q36" s="16">
        <v>0</v>
      </c>
      <c r="R36" s="16">
        <v>0</v>
      </c>
      <c r="S36" s="16">
        <v>0</v>
      </c>
      <c r="T36" s="27">
        <v>0</v>
      </c>
      <c r="U36" s="28"/>
      <c r="V36" s="16">
        <v>0</v>
      </c>
    </row>
    <row r="37" spans="1:22" ht="30" customHeight="1" x14ac:dyDescent="0.2">
      <c r="A37" s="15" t="s">
        <v>23</v>
      </c>
      <c r="B37" s="16">
        <v>4</v>
      </c>
      <c r="C37" s="15" t="s">
        <v>16</v>
      </c>
      <c r="D37" s="16">
        <v>3</v>
      </c>
      <c r="E37" s="16">
        <v>1</v>
      </c>
      <c r="F37" s="16">
        <v>2</v>
      </c>
      <c r="G37" s="31">
        <v>33.33</v>
      </c>
      <c r="H37" s="32"/>
      <c r="I37" s="16">
        <v>25</v>
      </c>
      <c r="J37" s="34"/>
      <c r="N37" s="15" t="s">
        <v>49</v>
      </c>
      <c r="O37" s="16">
        <v>1</v>
      </c>
      <c r="P37" s="15" t="s">
        <v>16</v>
      </c>
      <c r="Q37" s="16">
        <v>3</v>
      </c>
      <c r="R37" s="16">
        <v>0</v>
      </c>
      <c r="S37" s="16">
        <v>3</v>
      </c>
      <c r="T37" s="27">
        <v>0</v>
      </c>
      <c r="U37" s="28"/>
      <c r="V37" s="16">
        <v>0</v>
      </c>
    </row>
    <row r="38" spans="1:22" ht="15.95" customHeight="1" x14ac:dyDescent="0.2">
      <c r="A38" s="15" t="s">
        <v>24</v>
      </c>
      <c r="B38" s="16">
        <v>21</v>
      </c>
      <c r="C38" s="15" t="s">
        <v>13</v>
      </c>
      <c r="D38" s="16">
        <v>34</v>
      </c>
      <c r="E38" s="16">
        <v>3</v>
      </c>
      <c r="F38" s="16">
        <v>26</v>
      </c>
      <c r="G38" s="17">
        <v>7.14</v>
      </c>
      <c r="H38" s="18"/>
      <c r="I38" s="29">
        <v>10.71</v>
      </c>
      <c r="J38" s="5"/>
      <c r="N38" s="15" t="s">
        <v>50</v>
      </c>
      <c r="O38" s="16">
        <v>5</v>
      </c>
      <c r="P38" s="15" t="s">
        <v>16</v>
      </c>
      <c r="Q38" s="16">
        <v>7</v>
      </c>
      <c r="R38" s="16">
        <v>0</v>
      </c>
      <c r="S38" s="16">
        <v>6</v>
      </c>
      <c r="T38" s="27">
        <v>0</v>
      </c>
      <c r="U38" s="28"/>
      <c r="V38" s="16">
        <v>0</v>
      </c>
    </row>
    <row r="39" spans="1:22" ht="15.95" customHeight="1" x14ac:dyDescent="0.2">
      <c r="A39" s="30"/>
      <c r="B39" s="16">
        <v>5</v>
      </c>
      <c r="C39" s="15" t="s">
        <v>14</v>
      </c>
      <c r="D39" s="16">
        <v>7</v>
      </c>
      <c r="E39" s="16">
        <v>0</v>
      </c>
      <c r="F39" s="16">
        <v>7</v>
      </c>
      <c r="G39" s="27">
        <v>0</v>
      </c>
      <c r="H39" s="28"/>
      <c r="I39" s="16">
        <v>0</v>
      </c>
      <c r="J39" s="5"/>
      <c r="N39" s="15" t="s">
        <v>51</v>
      </c>
      <c r="O39" s="16">
        <v>1</v>
      </c>
      <c r="P39" s="15" t="s">
        <v>16</v>
      </c>
      <c r="Q39" s="16">
        <v>0</v>
      </c>
      <c r="R39" s="16">
        <v>0</v>
      </c>
      <c r="S39" s="16">
        <v>0</v>
      </c>
      <c r="T39" s="27">
        <v>0</v>
      </c>
      <c r="U39" s="28"/>
      <c r="V39" s="16">
        <v>0</v>
      </c>
    </row>
    <row r="40" spans="1:22" ht="15.95" customHeight="1" x14ac:dyDescent="0.2">
      <c r="A40" s="30"/>
      <c r="B40" s="16">
        <v>2</v>
      </c>
      <c r="C40" s="15" t="s">
        <v>15</v>
      </c>
      <c r="D40" s="16">
        <v>1</v>
      </c>
      <c r="E40" s="16">
        <v>0</v>
      </c>
      <c r="F40" s="16">
        <v>1</v>
      </c>
      <c r="G40" s="27">
        <v>0</v>
      </c>
      <c r="H40" s="28"/>
      <c r="I40" s="16">
        <v>0</v>
      </c>
      <c r="J40" s="5"/>
      <c r="N40" s="22" t="s">
        <v>52</v>
      </c>
      <c r="O40" s="41">
        <v>542</v>
      </c>
      <c r="P40" s="30"/>
      <c r="Q40" s="41">
        <v>800</v>
      </c>
      <c r="R40" s="41">
        <v>74</v>
      </c>
      <c r="S40" s="41">
        <v>629</v>
      </c>
      <c r="T40" s="42">
        <v>9.25</v>
      </c>
      <c r="U40" s="43"/>
      <c r="V40" s="44">
        <v>13.65</v>
      </c>
    </row>
    <row r="41" spans="1:22" ht="16.5" customHeight="1" x14ac:dyDescent="0.2">
      <c r="A41" s="15" t="s">
        <v>24</v>
      </c>
      <c r="B41" s="16">
        <v>28</v>
      </c>
      <c r="C41" s="15" t="s">
        <v>16</v>
      </c>
      <c r="D41" s="16">
        <v>42</v>
      </c>
      <c r="E41" s="16">
        <v>3</v>
      </c>
      <c r="F41" s="16">
        <v>34</v>
      </c>
      <c r="G41" s="17">
        <v>7.14</v>
      </c>
      <c r="H41" s="18"/>
      <c r="I41" s="29">
        <v>10.71</v>
      </c>
      <c r="J41" s="5"/>
    </row>
    <row r="42" spans="1:22" ht="15.95" customHeight="1" x14ac:dyDescent="0.2">
      <c r="A42" s="10" t="s">
        <v>2</v>
      </c>
      <c r="B42" s="10" t="s">
        <v>3</v>
      </c>
      <c r="C42" s="11" t="s">
        <v>4</v>
      </c>
      <c r="D42" s="12" t="s">
        <v>5</v>
      </c>
      <c r="E42" s="13"/>
      <c r="F42" s="14"/>
      <c r="G42" s="12" t="s">
        <v>6</v>
      </c>
      <c r="H42" s="13"/>
      <c r="I42" s="14"/>
    </row>
    <row r="43" spans="1:22" ht="56.1" customHeight="1" x14ac:dyDescent="0.2">
      <c r="A43" s="19"/>
      <c r="B43" s="19"/>
      <c r="C43" s="20"/>
      <c r="D43" s="21" t="s">
        <v>7</v>
      </c>
      <c r="E43" s="21" t="s">
        <v>8</v>
      </c>
      <c r="F43" s="22" t="s">
        <v>9</v>
      </c>
      <c r="G43" s="45" t="s">
        <v>10</v>
      </c>
      <c r="H43" s="24"/>
      <c r="I43" s="46" t="s">
        <v>11</v>
      </c>
    </row>
    <row r="44" spans="1:22" ht="15.95" customHeight="1" x14ac:dyDescent="0.2">
      <c r="A44" s="15" t="s">
        <v>25</v>
      </c>
      <c r="B44" s="16">
        <v>18</v>
      </c>
      <c r="C44" s="15" t="s">
        <v>13</v>
      </c>
      <c r="D44" s="16">
        <v>23</v>
      </c>
      <c r="E44" s="16">
        <v>0</v>
      </c>
      <c r="F44" s="16">
        <v>18</v>
      </c>
      <c r="G44" s="27">
        <v>0</v>
      </c>
      <c r="H44" s="28"/>
      <c r="I44" s="16">
        <v>0</v>
      </c>
    </row>
    <row r="45" spans="1:22" ht="15.95" customHeight="1" x14ac:dyDescent="0.2">
      <c r="A45" s="30"/>
      <c r="B45" s="16">
        <v>2</v>
      </c>
      <c r="C45" s="15" t="s">
        <v>14</v>
      </c>
      <c r="D45" s="16">
        <v>2</v>
      </c>
      <c r="E45" s="16">
        <v>0</v>
      </c>
      <c r="F45" s="16">
        <v>0</v>
      </c>
      <c r="G45" s="27">
        <v>0</v>
      </c>
      <c r="H45" s="28"/>
      <c r="I45" s="16">
        <v>0</v>
      </c>
    </row>
    <row r="46" spans="1:22" ht="15.95" customHeight="1" x14ac:dyDescent="0.2">
      <c r="A46" s="30"/>
      <c r="B46" s="16">
        <v>0</v>
      </c>
      <c r="C46" s="15" t="s">
        <v>15</v>
      </c>
      <c r="D46" s="16">
        <v>0</v>
      </c>
      <c r="E46" s="16">
        <v>0</v>
      </c>
      <c r="F46" s="16">
        <v>0</v>
      </c>
      <c r="G46" s="27">
        <v>0</v>
      </c>
      <c r="H46" s="28"/>
      <c r="I46" s="16">
        <v>0</v>
      </c>
    </row>
    <row r="47" spans="1:22" ht="15.95" customHeight="1" x14ac:dyDescent="0.2">
      <c r="A47" s="15" t="s">
        <v>25</v>
      </c>
      <c r="B47" s="16">
        <v>20</v>
      </c>
      <c r="C47" s="15" t="s">
        <v>16</v>
      </c>
      <c r="D47" s="16">
        <v>25</v>
      </c>
      <c r="E47" s="16">
        <v>0</v>
      </c>
      <c r="F47" s="16">
        <v>18</v>
      </c>
      <c r="G47" s="27">
        <v>0</v>
      </c>
      <c r="H47" s="28"/>
      <c r="I47" s="16">
        <v>0</v>
      </c>
    </row>
    <row r="48" spans="1:22" ht="30" customHeight="1" x14ac:dyDescent="0.2">
      <c r="A48" s="15" t="s">
        <v>26</v>
      </c>
      <c r="B48" s="16">
        <v>19</v>
      </c>
      <c r="C48" s="15" t="s">
        <v>13</v>
      </c>
      <c r="D48" s="16">
        <v>15</v>
      </c>
      <c r="E48" s="16">
        <v>2</v>
      </c>
      <c r="F48" s="16">
        <v>12</v>
      </c>
      <c r="G48" s="17">
        <v>7.69</v>
      </c>
      <c r="H48" s="18"/>
      <c r="I48" s="33">
        <v>6.9</v>
      </c>
    </row>
    <row r="49" spans="1:9" ht="15.95" customHeight="1" x14ac:dyDescent="0.2">
      <c r="A49" s="30"/>
      <c r="B49" s="16">
        <v>4</v>
      </c>
      <c r="C49" s="15" t="s">
        <v>14</v>
      </c>
      <c r="D49" s="16">
        <v>3</v>
      </c>
      <c r="E49" s="16">
        <v>1</v>
      </c>
      <c r="F49" s="16">
        <v>2</v>
      </c>
      <c r="G49" s="17">
        <v>3.85</v>
      </c>
      <c r="H49" s="18"/>
      <c r="I49" s="29">
        <v>3.45</v>
      </c>
    </row>
    <row r="50" spans="1:9" ht="15.95" customHeight="1" x14ac:dyDescent="0.2">
      <c r="A50" s="30"/>
      <c r="B50" s="16">
        <v>6</v>
      </c>
      <c r="C50" s="15" t="s">
        <v>15</v>
      </c>
      <c r="D50" s="16">
        <v>8</v>
      </c>
      <c r="E50" s="16">
        <v>3</v>
      </c>
      <c r="F50" s="16">
        <v>5</v>
      </c>
      <c r="G50" s="17">
        <v>11.54</v>
      </c>
      <c r="H50" s="18"/>
      <c r="I50" s="29">
        <v>10.34</v>
      </c>
    </row>
    <row r="51" spans="1:9" ht="29.1" customHeight="1" x14ac:dyDescent="0.2">
      <c r="A51" s="15" t="s">
        <v>26</v>
      </c>
      <c r="B51" s="16">
        <v>29</v>
      </c>
      <c r="C51" s="15" t="s">
        <v>16</v>
      </c>
      <c r="D51" s="16">
        <v>26</v>
      </c>
      <c r="E51" s="16">
        <v>6</v>
      </c>
      <c r="F51" s="16">
        <v>19</v>
      </c>
      <c r="G51" s="17">
        <v>23.08</v>
      </c>
      <c r="H51" s="18"/>
      <c r="I51" s="29">
        <v>20.69</v>
      </c>
    </row>
    <row r="52" spans="1:9" ht="15.95" customHeight="1" x14ac:dyDescent="0.2">
      <c r="A52" s="15" t="s">
        <v>27</v>
      </c>
      <c r="B52" s="16">
        <v>39</v>
      </c>
      <c r="C52" s="15" t="s">
        <v>13</v>
      </c>
      <c r="D52" s="16">
        <v>90</v>
      </c>
      <c r="E52" s="16">
        <v>6</v>
      </c>
      <c r="F52" s="16">
        <v>78</v>
      </c>
      <c r="G52" s="17">
        <v>5.41</v>
      </c>
      <c r="H52" s="18"/>
      <c r="I52" s="33">
        <v>12.5</v>
      </c>
    </row>
    <row r="53" spans="1:9" ht="17.100000000000001" customHeight="1" x14ac:dyDescent="0.2">
      <c r="A53" s="30"/>
      <c r="B53" s="16">
        <v>5</v>
      </c>
      <c r="C53" s="15" t="s">
        <v>14</v>
      </c>
      <c r="D53" s="16">
        <v>13</v>
      </c>
      <c r="E53" s="16">
        <v>1</v>
      </c>
      <c r="F53" s="16">
        <v>11</v>
      </c>
      <c r="G53" s="39">
        <v>0.9</v>
      </c>
      <c r="H53" s="40"/>
      <c r="I53" s="29">
        <v>2.08</v>
      </c>
    </row>
    <row r="54" spans="1:9" ht="15.95" customHeight="1" x14ac:dyDescent="0.2">
      <c r="A54" s="30"/>
      <c r="B54" s="16">
        <v>4</v>
      </c>
      <c r="C54" s="15" t="s">
        <v>15</v>
      </c>
      <c r="D54" s="16">
        <v>8</v>
      </c>
      <c r="E54" s="16">
        <v>0</v>
      </c>
      <c r="F54" s="16">
        <v>5</v>
      </c>
      <c r="G54" s="27">
        <v>0</v>
      </c>
      <c r="H54" s="28"/>
      <c r="I54" s="16">
        <v>0</v>
      </c>
    </row>
    <row r="55" spans="1:9" ht="15.95" customHeight="1" x14ac:dyDescent="0.2">
      <c r="A55" s="15" t="s">
        <v>27</v>
      </c>
      <c r="B55" s="16">
        <v>48</v>
      </c>
      <c r="C55" s="15" t="s">
        <v>16</v>
      </c>
      <c r="D55" s="16">
        <v>111</v>
      </c>
      <c r="E55" s="16">
        <v>7</v>
      </c>
      <c r="F55" s="16">
        <v>94</v>
      </c>
      <c r="G55" s="17">
        <v>6.31</v>
      </c>
      <c r="H55" s="18"/>
      <c r="I55" s="29">
        <v>14.58</v>
      </c>
    </row>
    <row r="56" spans="1:9" ht="15.95" customHeight="1" x14ac:dyDescent="0.2">
      <c r="A56" s="15" t="s">
        <v>28</v>
      </c>
      <c r="B56" s="16">
        <v>1</v>
      </c>
      <c r="C56" s="15" t="s">
        <v>13</v>
      </c>
      <c r="D56" s="16">
        <v>0</v>
      </c>
      <c r="E56" s="16">
        <v>0</v>
      </c>
      <c r="F56" s="16">
        <v>0</v>
      </c>
      <c r="G56" s="27">
        <v>0</v>
      </c>
      <c r="H56" s="28"/>
      <c r="I56" s="16">
        <v>0</v>
      </c>
    </row>
    <row r="57" spans="1:9" ht="15.95" customHeight="1" x14ac:dyDescent="0.2">
      <c r="A57" s="30"/>
      <c r="B57" s="16">
        <v>0</v>
      </c>
      <c r="C57" s="15" t="s">
        <v>14</v>
      </c>
      <c r="D57" s="16">
        <v>0</v>
      </c>
      <c r="E57" s="16">
        <v>0</v>
      </c>
      <c r="F57" s="16">
        <v>0</v>
      </c>
      <c r="G57" s="27">
        <v>0</v>
      </c>
      <c r="H57" s="28"/>
      <c r="I57" s="16">
        <v>0</v>
      </c>
    </row>
    <row r="58" spans="1:9" ht="15.95" customHeight="1" x14ac:dyDescent="0.2">
      <c r="A58" s="30"/>
      <c r="B58" s="16">
        <v>1</v>
      </c>
      <c r="C58" s="15" t="s">
        <v>15</v>
      </c>
      <c r="D58" s="16">
        <v>0</v>
      </c>
      <c r="E58" s="16">
        <v>0</v>
      </c>
      <c r="F58" s="16">
        <v>0</v>
      </c>
      <c r="G58" s="27">
        <v>0</v>
      </c>
      <c r="H58" s="28"/>
      <c r="I58" s="16">
        <v>0</v>
      </c>
    </row>
    <row r="59" spans="1:9" ht="17.100000000000001" customHeight="1" x14ac:dyDescent="0.2">
      <c r="A59" s="15" t="s">
        <v>28</v>
      </c>
      <c r="B59" s="16">
        <v>2</v>
      </c>
      <c r="C59" s="15" t="s">
        <v>16</v>
      </c>
      <c r="D59" s="16">
        <v>0</v>
      </c>
      <c r="E59" s="16">
        <v>0</v>
      </c>
      <c r="F59" s="16">
        <v>0</v>
      </c>
      <c r="G59" s="27">
        <v>0</v>
      </c>
      <c r="H59" s="28"/>
      <c r="I59" s="16">
        <v>0</v>
      </c>
    </row>
    <row r="60" spans="1:9" ht="15.95" customHeight="1" x14ac:dyDescent="0.2">
      <c r="A60" s="15" t="s">
        <v>29</v>
      </c>
      <c r="B60" s="16">
        <v>0</v>
      </c>
      <c r="C60" s="15" t="s">
        <v>13</v>
      </c>
      <c r="D60" s="16">
        <v>0</v>
      </c>
      <c r="E60" s="16">
        <v>0</v>
      </c>
      <c r="F60" s="16">
        <v>0</v>
      </c>
      <c r="G60" s="27">
        <v>0</v>
      </c>
      <c r="H60" s="28"/>
      <c r="I60" s="16">
        <v>0</v>
      </c>
    </row>
    <row r="61" spans="1:9" ht="15.95" customHeight="1" x14ac:dyDescent="0.2">
      <c r="A61" s="30"/>
      <c r="B61" s="16">
        <v>0</v>
      </c>
      <c r="C61" s="15" t="s">
        <v>14</v>
      </c>
      <c r="D61" s="16">
        <v>0</v>
      </c>
      <c r="E61" s="16">
        <v>0</v>
      </c>
      <c r="F61" s="16">
        <v>0</v>
      </c>
      <c r="G61" s="27">
        <v>0</v>
      </c>
      <c r="H61" s="28"/>
      <c r="I61" s="16">
        <v>0</v>
      </c>
    </row>
    <row r="62" spans="1:9" ht="15.95" customHeight="1" x14ac:dyDescent="0.2">
      <c r="A62" s="30"/>
      <c r="B62" s="16">
        <v>2</v>
      </c>
      <c r="C62" s="15" t="s">
        <v>15</v>
      </c>
      <c r="D62" s="16">
        <v>2</v>
      </c>
      <c r="E62" s="16">
        <v>0</v>
      </c>
      <c r="F62" s="16">
        <v>0</v>
      </c>
      <c r="G62" s="27">
        <v>0</v>
      </c>
      <c r="H62" s="28"/>
      <c r="I62" s="16">
        <v>0</v>
      </c>
    </row>
    <row r="63" spans="1:9" ht="15.95" customHeight="1" x14ac:dyDescent="0.2">
      <c r="A63" s="15" t="s">
        <v>29</v>
      </c>
      <c r="B63" s="16">
        <v>2</v>
      </c>
      <c r="C63" s="15" t="s">
        <v>16</v>
      </c>
      <c r="D63" s="16">
        <v>2</v>
      </c>
      <c r="E63" s="16">
        <v>0</v>
      </c>
      <c r="F63" s="16">
        <v>0</v>
      </c>
      <c r="G63" s="27">
        <v>0</v>
      </c>
      <c r="H63" s="28"/>
      <c r="I63" s="16">
        <v>0</v>
      </c>
    </row>
    <row r="64" spans="1:9" ht="15.95" customHeight="1" x14ac:dyDescent="0.2">
      <c r="A64" s="15" t="s">
        <v>30</v>
      </c>
      <c r="B64" s="16">
        <v>0</v>
      </c>
      <c r="C64" s="15" t="s">
        <v>13</v>
      </c>
      <c r="D64" s="16">
        <v>0</v>
      </c>
      <c r="E64" s="16">
        <v>0</v>
      </c>
      <c r="F64" s="16">
        <v>0</v>
      </c>
      <c r="G64" s="27">
        <v>0</v>
      </c>
      <c r="H64" s="28"/>
      <c r="I64" s="16">
        <v>0</v>
      </c>
    </row>
    <row r="65" spans="1:9" ht="15.95" customHeight="1" x14ac:dyDescent="0.2">
      <c r="A65" s="30"/>
      <c r="B65" s="16">
        <v>0</v>
      </c>
      <c r="C65" s="15" t="s">
        <v>14</v>
      </c>
      <c r="D65" s="16">
        <v>0</v>
      </c>
      <c r="E65" s="16">
        <v>0</v>
      </c>
      <c r="F65" s="16">
        <v>0</v>
      </c>
      <c r="G65" s="27">
        <v>0</v>
      </c>
      <c r="H65" s="28"/>
      <c r="I65" s="16">
        <v>0</v>
      </c>
    </row>
    <row r="66" spans="1:9" ht="17.100000000000001" customHeight="1" x14ac:dyDescent="0.2">
      <c r="A66" s="30"/>
      <c r="B66" s="16">
        <v>1</v>
      </c>
      <c r="C66" s="15" t="s">
        <v>15</v>
      </c>
      <c r="D66" s="16">
        <v>1</v>
      </c>
      <c r="E66" s="16">
        <v>0</v>
      </c>
      <c r="F66" s="16">
        <v>1</v>
      </c>
      <c r="G66" s="27">
        <v>0</v>
      </c>
      <c r="H66" s="28"/>
      <c r="I66" s="16">
        <v>0</v>
      </c>
    </row>
    <row r="67" spans="1:9" ht="15.95" customHeight="1" x14ac:dyDescent="0.2">
      <c r="A67" s="15" t="s">
        <v>30</v>
      </c>
      <c r="B67" s="16">
        <v>1</v>
      </c>
      <c r="C67" s="15" t="s">
        <v>16</v>
      </c>
      <c r="D67" s="16">
        <v>1</v>
      </c>
      <c r="E67" s="16">
        <v>0</v>
      </c>
      <c r="F67" s="16">
        <v>1</v>
      </c>
      <c r="G67" s="27">
        <v>0</v>
      </c>
      <c r="H67" s="28"/>
      <c r="I67" s="16">
        <v>0</v>
      </c>
    </row>
    <row r="68" spans="1:9" ht="15.95" customHeight="1" x14ac:dyDescent="0.2">
      <c r="A68" s="15" t="s">
        <v>31</v>
      </c>
      <c r="B68" s="16">
        <v>1</v>
      </c>
      <c r="C68" s="15" t="s">
        <v>13</v>
      </c>
      <c r="D68" s="16">
        <v>0</v>
      </c>
      <c r="E68" s="16">
        <v>0</v>
      </c>
      <c r="F68" s="16">
        <v>0</v>
      </c>
      <c r="G68" s="27">
        <v>0</v>
      </c>
      <c r="H68" s="28"/>
      <c r="I68" s="16">
        <v>0</v>
      </c>
    </row>
    <row r="69" spans="1:9" ht="15.95" customHeight="1" x14ac:dyDescent="0.2">
      <c r="A69" s="30"/>
      <c r="B69" s="16">
        <v>0</v>
      </c>
      <c r="C69" s="15" t="s">
        <v>14</v>
      </c>
      <c r="D69" s="16">
        <v>0</v>
      </c>
      <c r="E69" s="16">
        <v>0</v>
      </c>
      <c r="F69" s="16">
        <v>0</v>
      </c>
      <c r="G69" s="27">
        <v>0</v>
      </c>
      <c r="H69" s="28"/>
      <c r="I69" s="16">
        <v>0</v>
      </c>
    </row>
    <row r="70" spans="1:9" ht="15.95" customHeight="1" x14ac:dyDescent="0.2">
      <c r="A70" s="30"/>
      <c r="B70" s="16">
        <v>0</v>
      </c>
      <c r="C70" s="15" t="s">
        <v>15</v>
      </c>
      <c r="D70" s="16">
        <v>0</v>
      </c>
      <c r="E70" s="16">
        <v>0</v>
      </c>
      <c r="F70" s="16">
        <v>0</v>
      </c>
      <c r="G70" s="27">
        <v>0</v>
      </c>
      <c r="H70" s="28"/>
      <c r="I70" s="16">
        <v>0</v>
      </c>
    </row>
    <row r="71" spans="1:9" ht="15.95" customHeight="1" x14ac:dyDescent="0.2">
      <c r="A71" s="15" t="s">
        <v>31</v>
      </c>
      <c r="B71" s="16">
        <v>1</v>
      </c>
      <c r="C71" s="15" t="s">
        <v>16</v>
      </c>
      <c r="D71" s="16">
        <v>0</v>
      </c>
      <c r="E71" s="16">
        <v>0</v>
      </c>
      <c r="F71" s="16">
        <v>0</v>
      </c>
      <c r="G71" s="27">
        <v>0</v>
      </c>
      <c r="H71" s="28"/>
      <c r="I71" s="16">
        <v>0</v>
      </c>
    </row>
    <row r="72" spans="1:9" ht="15.95" customHeight="1" x14ac:dyDescent="0.2">
      <c r="A72" s="15" t="s">
        <v>32</v>
      </c>
      <c r="B72" s="16">
        <v>13</v>
      </c>
      <c r="C72" s="15" t="s">
        <v>13</v>
      </c>
      <c r="D72" s="16">
        <v>20</v>
      </c>
      <c r="E72" s="16">
        <v>4</v>
      </c>
      <c r="F72" s="16">
        <v>12</v>
      </c>
      <c r="G72" s="17">
        <v>12.12</v>
      </c>
      <c r="H72" s="18"/>
      <c r="I72" s="29">
        <v>19.05</v>
      </c>
    </row>
    <row r="73" spans="1:9" ht="17.100000000000001" customHeight="1" x14ac:dyDescent="0.2">
      <c r="A73" s="30"/>
      <c r="B73" s="16">
        <v>3</v>
      </c>
      <c r="C73" s="15" t="s">
        <v>14</v>
      </c>
      <c r="D73" s="16">
        <v>7</v>
      </c>
      <c r="E73" s="16">
        <v>0</v>
      </c>
      <c r="F73" s="16">
        <v>4</v>
      </c>
      <c r="G73" s="27">
        <v>0</v>
      </c>
      <c r="H73" s="28"/>
      <c r="I73" s="16">
        <v>0</v>
      </c>
    </row>
    <row r="74" spans="1:9" ht="15.95" customHeight="1" x14ac:dyDescent="0.2">
      <c r="A74" s="30"/>
      <c r="B74" s="16">
        <v>5</v>
      </c>
      <c r="C74" s="15" t="s">
        <v>15</v>
      </c>
      <c r="D74" s="16">
        <v>6</v>
      </c>
      <c r="E74" s="16">
        <v>0</v>
      </c>
      <c r="F74" s="16">
        <v>5</v>
      </c>
      <c r="G74" s="27">
        <v>0</v>
      </c>
      <c r="H74" s="28"/>
      <c r="I74" s="16">
        <v>0</v>
      </c>
    </row>
    <row r="75" spans="1:9" ht="15.95" customHeight="1" x14ac:dyDescent="0.2">
      <c r="A75" s="15" t="s">
        <v>32</v>
      </c>
      <c r="B75" s="16">
        <v>21</v>
      </c>
      <c r="C75" s="15" t="s">
        <v>16</v>
      </c>
      <c r="D75" s="16">
        <v>33</v>
      </c>
      <c r="E75" s="16">
        <v>4</v>
      </c>
      <c r="F75" s="16">
        <v>21</v>
      </c>
      <c r="G75" s="17">
        <v>12.12</v>
      </c>
      <c r="H75" s="18"/>
      <c r="I75" s="29">
        <v>19.05</v>
      </c>
    </row>
    <row r="76" spans="1:9" ht="15.95" customHeight="1" x14ac:dyDescent="0.2">
      <c r="A76" s="15" t="s">
        <v>33</v>
      </c>
      <c r="B76" s="16">
        <v>9</v>
      </c>
      <c r="C76" s="15" t="s">
        <v>13</v>
      </c>
      <c r="D76" s="16">
        <v>18</v>
      </c>
      <c r="E76" s="16">
        <v>1</v>
      </c>
      <c r="F76" s="16">
        <v>16</v>
      </c>
      <c r="G76" s="17">
        <v>3.85</v>
      </c>
      <c r="H76" s="18"/>
      <c r="I76" s="29">
        <v>7.69</v>
      </c>
    </row>
    <row r="77" spans="1:9" ht="15.95" customHeight="1" x14ac:dyDescent="0.2">
      <c r="A77" s="30"/>
      <c r="B77" s="16">
        <v>4</v>
      </c>
      <c r="C77" s="15" t="s">
        <v>14</v>
      </c>
      <c r="D77" s="16">
        <v>8</v>
      </c>
      <c r="E77" s="16">
        <v>0</v>
      </c>
      <c r="F77" s="16">
        <v>6</v>
      </c>
      <c r="G77" s="27">
        <v>0</v>
      </c>
      <c r="H77" s="28"/>
      <c r="I77" s="16">
        <v>0</v>
      </c>
    </row>
    <row r="78" spans="1:9" ht="15.95" customHeight="1" x14ac:dyDescent="0.2">
      <c r="A78" s="30"/>
      <c r="B78" s="16">
        <v>0</v>
      </c>
      <c r="C78" s="15" t="s">
        <v>15</v>
      </c>
      <c r="D78" s="16">
        <v>0</v>
      </c>
      <c r="E78" s="16">
        <v>0</v>
      </c>
      <c r="F78" s="16">
        <v>0</v>
      </c>
      <c r="G78" s="27">
        <v>0</v>
      </c>
      <c r="H78" s="28"/>
      <c r="I78" s="16">
        <v>0</v>
      </c>
    </row>
    <row r="79" spans="1:9" ht="17.100000000000001" customHeight="1" x14ac:dyDescent="0.2">
      <c r="A79" s="15" t="s">
        <v>33</v>
      </c>
      <c r="B79" s="16">
        <v>13</v>
      </c>
      <c r="C79" s="15" t="s">
        <v>16</v>
      </c>
      <c r="D79" s="16">
        <v>26</v>
      </c>
      <c r="E79" s="16">
        <v>1</v>
      </c>
      <c r="F79" s="16">
        <v>22</v>
      </c>
      <c r="G79" s="17">
        <v>3.85</v>
      </c>
      <c r="H79" s="18"/>
      <c r="I79" s="29">
        <v>7.69</v>
      </c>
    </row>
    <row r="80" spans="1:9" ht="15.95" customHeight="1" x14ac:dyDescent="0.2">
      <c r="A80" s="15" t="s">
        <v>34</v>
      </c>
      <c r="B80" s="16">
        <v>18</v>
      </c>
      <c r="C80" s="15" t="s">
        <v>13</v>
      </c>
      <c r="D80" s="16">
        <v>11</v>
      </c>
      <c r="E80" s="16">
        <v>2</v>
      </c>
      <c r="F80" s="16">
        <v>6</v>
      </c>
      <c r="G80" s="17">
        <v>10.53</v>
      </c>
      <c r="H80" s="18"/>
      <c r="I80" s="16">
        <v>8</v>
      </c>
    </row>
    <row r="81" spans="1:9" ht="15.95" customHeight="1" x14ac:dyDescent="0.2">
      <c r="A81" s="30"/>
      <c r="B81" s="16">
        <v>4</v>
      </c>
      <c r="C81" s="15" t="s">
        <v>14</v>
      </c>
      <c r="D81" s="16">
        <v>7</v>
      </c>
      <c r="E81" s="16">
        <v>1</v>
      </c>
      <c r="F81" s="16">
        <v>4</v>
      </c>
      <c r="G81" s="17">
        <v>5.26</v>
      </c>
      <c r="H81" s="18"/>
      <c r="I81" s="16">
        <v>4</v>
      </c>
    </row>
    <row r="82" spans="1:9" ht="15.95" customHeight="1" x14ac:dyDescent="0.2">
      <c r="A82" s="30"/>
      <c r="B82" s="16">
        <v>3</v>
      </c>
      <c r="C82" s="15" t="s">
        <v>15</v>
      </c>
      <c r="D82" s="16">
        <v>1</v>
      </c>
      <c r="E82" s="16">
        <v>0</v>
      </c>
      <c r="F82" s="16">
        <v>1</v>
      </c>
      <c r="G82" s="27">
        <v>0</v>
      </c>
      <c r="H82" s="28"/>
      <c r="I82" s="16">
        <v>0</v>
      </c>
    </row>
    <row r="83" spans="1:9" ht="15.95" customHeight="1" x14ac:dyDescent="0.2">
      <c r="A83" s="15" t="s">
        <v>34</v>
      </c>
      <c r="B83" s="16">
        <v>25</v>
      </c>
      <c r="C83" s="15" t="s">
        <v>16</v>
      </c>
      <c r="D83" s="16">
        <v>19</v>
      </c>
      <c r="E83" s="16">
        <v>3</v>
      </c>
      <c r="F83" s="16">
        <v>11</v>
      </c>
      <c r="G83" s="17">
        <v>15.79</v>
      </c>
      <c r="H83" s="18"/>
      <c r="I83" s="16">
        <v>12</v>
      </c>
    </row>
    <row r="84" spans="1:9" ht="15.95" customHeight="1" x14ac:dyDescent="0.2">
      <c r="A84" s="10" t="s">
        <v>2</v>
      </c>
      <c r="B84" s="10" t="s">
        <v>3</v>
      </c>
      <c r="C84" s="11" t="s">
        <v>4</v>
      </c>
      <c r="D84" s="12" t="s">
        <v>5</v>
      </c>
      <c r="E84" s="13"/>
      <c r="F84" s="14"/>
      <c r="G84" s="12" t="s">
        <v>6</v>
      </c>
      <c r="H84" s="13"/>
      <c r="I84" s="14"/>
    </row>
    <row r="85" spans="1:9" ht="56.1" customHeight="1" x14ac:dyDescent="0.2">
      <c r="A85" s="19"/>
      <c r="B85" s="19"/>
      <c r="C85" s="20"/>
      <c r="D85" s="21" t="s">
        <v>7</v>
      </c>
      <c r="E85" s="21" t="s">
        <v>8</v>
      </c>
      <c r="F85" s="22" t="s">
        <v>9</v>
      </c>
      <c r="G85" s="45" t="s">
        <v>10</v>
      </c>
      <c r="H85" s="24"/>
      <c r="I85" s="46" t="s">
        <v>11</v>
      </c>
    </row>
    <row r="86" spans="1:9" ht="15.95" customHeight="1" x14ac:dyDescent="0.2">
      <c r="A86" s="15" t="s">
        <v>35</v>
      </c>
      <c r="B86" s="16">
        <v>1</v>
      </c>
      <c r="C86" s="15" t="s">
        <v>13</v>
      </c>
      <c r="D86" s="16">
        <v>1</v>
      </c>
      <c r="E86" s="16">
        <v>0</v>
      </c>
      <c r="F86" s="16">
        <v>1</v>
      </c>
      <c r="G86" s="27">
        <v>0</v>
      </c>
      <c r="H86" s="28"/>
      <c r="I86" s="16">
        <v>0</v>
      </c>
    </row>
    <row r="87" spans="1:9" ht="15.95" customHeight="1" x14ac:dyDescent="0.2">
      <c r="A87" s="30"/>
      <c r="B87" s="16">
        <v>0</v>
      </c>
      <c r="C87" s="15" t="s">
        <v>14</v>
      </c>
      <c r="D87" s="16">
        <v>0</v>
      </c>
      <c r="E87" s="16">
        <v>0</v>
      </c>
      <c r="F87" s="16">
        <v>0</v>
      </c>
      <c r="G87" s="27">
        <v>0</v>
      </c>
      <c r="H87" s="28"/>
      <c r="I87" s="16">
        <v>0</v>
      </c>
    </row>
    <row r="88" spans="1:9" ht="15.95" customHeight="1" x14ac:dyDescent="0.2">
      <c r="A88" s="30"/>
      <c r="B88" s="16">
        <v>0</v>
      </c>
      <c r="C88" s="15" t="s">
        <v>15</v>
      </c>
      <c r="D88" s="16">
        <v>0</v>
      </c>
      <c r="E88" s="16">
        <v>0</v>
      </c>
      <c r="F88" s="16">
        <v>0</v>
      </c>
      <c r="G88" s="27">
        <v>0</v>
      </c>
      <c r="H88" s="28"/>
      <c r="I88" s="16">
        <v>0</v>
      </c>
    </row>
    <row r="89" spans="1:9" ht="15.95" customHeight="1" x14ac:dyDescent="0.2">
      <c r="A89" s="15" t="s">
        <v>35</v>
      </c>
      <c r="B89" s="16">
        <v>1</v>
      </c>
      <c r="C89" s="15" t="s">
        <v>16</v>
      </c>
      <c r="D89" s="16">
        <v>1</v>
      </c>
      <c r="E89" s="16">
        <v>0</v>
      </c>
      <c r="F89" s="16">
        <v>1</v>
      </c>
      <c r="G89" s="27">
        <v>0</v>
      </c>
      <c r="H89" s="28"/>
      <c r="I89" s="16">
        <v>0</v>
      </c>
    </row>
    <row r="90" spans="1:9" ht="15.95" customHeight="1" x14ac:dyDescent="0.2">
      <c r="A90" s="15" t="s">
        <v>36</v>
      </c>
      <c r="B90" s="16">
        <v>32</v>
      </c>
      <c r="C90" s="15" t="s">
        <v>13</v>
      </c>
      <c r="D90" s="16">
        <v>64</v>
      </c>
      <c r="E90" s="16">
        <v>4</v>
      </c>
      <c r="F90" s="16">
        <v>58</v>
      </c>
      <c r="G90" s="17">
        <v>5.19</v>
      </c>
      <c r="H90" s="18"/>
      <c r="I90" s="29">
        <v>10.26</v>
      </c>
    </row>
    <row r="91" spans="1:9" ht="17.100000000000001" customHeight="1" x14ac:dyDescent="0.2">
      <c r="A91" s="30"/>
      <c r="B91" s="16">
        <v>7</v>
      </c>
      <c r="C91" s="15" t="s">
        <v>14</v>
      </c>
      <c r="D91" s="16">
        <v>13</v>
      </c>
      <c r="E91" s="16">
        <v>1</v>
      </c>
      <c r="F91" s="16">
        <v>12</v>
      </c>
      <c r="G91" s="39">
        <v>1.3</v>
      </c>
      <c r="H91" s="40"/>
      <c r="I91" s="29">
        <v>2.56</v>
      </c>
    </row>
    <row r="92" spans="1:9" ht="15.95" customHeight="1" x14ac:dyDescent="0.2">
      <c r="A92" s="30"/>
      <c r="B92" s="16">
        <v>0</v>
      </c>
      <c r="C92" s="15" t="s">
        <v>15</v>
      </c>
      <c r="D92" s="16">
        <v>0</v>
      </c>
      <c r="E92" s="16">
        <v>0</v>
      </c>
      <c r="F92" s="16">
        <v>0</v>
      </c>
      <c r="G92" s="27">
        <v>0</v>
      </c>
      <c r="H92" s="28"/>
      <c r="I92" s="16">
        <v>0</v>
      </c>
    </row>
    <row r="93" spans="1:9" ht="15.95" customHeight="1" x14ac:dyDescent="0.2">
      <c r="A93" s="15" t="s">
        <v>36</v>
      </c>
      <c r="B93" s="16">
        <v>39</v>
      </c>
      <c r="C93" s="15" t="s">
        <v>16</v>
      </c>
      <c r="D93" s="16">
        <v>77</v>
      </c>
      <c r="E93" s="16">
        <v>5</v>
      </c>
      <c r="F93" s="16">
        <v>70</v>
      </c>
      <c r="G93" s="17">
        <v>6.49</v>
      </c>
      <c r="H93" s="18"/>
      <c r="I93" s="29">
        <v>12.82</v>
      </c>
    </row>
    <row r="94" spans="1:9" ht="15.95" customHeight="1" x14ac:dyDescent="0.2">
      <c r="A94" s="15" t="s">
        <v>37</v>
      </c>
      <c r="B94" s="16">
        <v>1</v>
      </c>
      <c r="C94" s="15" t="s">
        <v>13</v>
      </c>
      <c r="D94" s="16">
        <v>0</v>
      </c>
      <c r="E94" s="16">
        <v>0</v>
      </c>
      <c r="F94" s="16">
        <v>0</v>
      </c>
      <c r="G94" s="27">
        <v>0</v>
      </c>
      <c r="H94" s="28"/>
      <c r="I94" s="16">
        <v>0</v>
      </c>
    </row>
    <row r="95" spans="1:9" ht="15.95" customHeight="1" x14ac:dyDescent="0.2">
      <c r="A95" s="30"/>
      <c r="B95" s="16">
        <v>0</v>
      </c>
      <c r="C95" s="15" t="s">
        <v>14</v>
      </c>
      <c r="D95" s="16">
        <v>0</v>
      </c>
      <c r="E95" s="16">
        <v>0</v>
      </c>
      <c r="F95" s="16">
        <v>0</v>
      </c>
      <c r="G95" s="27">
        <v>0</v>
      </c>
      <c r="H95" s="28"/>
      <c r="I95" s="16">
        <v>0</v>
      </c>
    </row>
    <row r="96" spans="1:9" ht="15.95" customHeight="1" x14ac:dyDescent="0.2">
      <c r="A96" s="30"/>
      <c r="B96" s="16">
        <v>1</v>
      </c>
      <c r="C96" s="15" t="s">
        <v>15</v>
      </c>
      <c r="D96" s="16">
        <v>2</v>
      </c>
      <c r="E96" s="16">
        <v>1</v>
      </c>
      <c r="F96" s="16">
        <v>1</v>
      </c>
      <c r="G96" s="27">
        <v>50</v>
      </c>
      <c r="H96" s="28"/>
      <c r="I96" s="16">
        <v>50</v>
      </c>
    </row>
    <row r="97" spans="1:9" ht="17.100000000000001" customHeight="1" x14ac:dyDescent="0.2">
      <c r="A97" s="15" t="s">
        <v>37</v>
      </c>
      <c r="B97" s="16">
        <v>2</v>
      </c>
      <c r="C97" s="15" t="s">
        <v>16</v>
      </c>
      <c r="D97" s="16">
        <v>2</v>
      </c>
      <c r="E97" s="16">
        <v>1</v>
      </c>
      <c r="F97" s="16">
        <v>1</v>
      </c>
      <c r="G97" s="27">
        <v>50</v>
      </c>
      <c r="H97" s="28"/>
      <c r="I97" s="16">
        <v>50</v>
      </c>
    </row>
    <row r="98" spans="1:9" ht="15.95" customHeight="1" x14ac:dyDescent="0.2">
      <c r="A98" s="15" t="s">
        <v>38</v>
      </c>
      <c r="B98" s="16">
        <v>63</v>
      </c>
      <c r="C98" s="15" t="s">
        <v>13</v>
      </c>
      <c r="D98" s="16">
        <v>55</v>
      </c>
      <c r="E98" s="16">
        <v>6</v>
      </c>
      <c r="F98" s="16">
        <v>40</v>
      </c>
      <c r="G98" s="39">
        <v>7.5</v>
      </c>
      <c r="H98" s="40"/>
      <c r="I98" s="33">
        <v>7.5</v>
      </c>
    </row>
    <row r="99" spans="1:9" ht="15.95" customHeight="1" x14ac:dyDescent="0.2">
      <c r="A99" s="30"/>
      <c r="B99" s="16">
        <v>17</v>
      </c>
      <c r="C99" s="15" t="s">
        <v>14</v>
      </c>
      <c r="D99" s="16">
        <v>25</v>
      </c>
      <c r="E99" s="16">
        <v>1</v>
      </c>
      <c r="F99" s="16">
        <v>17</v>
      </c>
      <c r="G99" s="17">
        <v>1.25</v>
      </c>
      <c r="H99" s="18"/>
      <c r="I99" s="29">
        <v>1.25</v>
      </c>
    </row>
    <row r="100" spans="1:9" ht="15.95" customHeight="1" x14ac:dyDescent="0.2">
      <c r="A100" s="30"/>
      <c r="B100" s="16">
        <v>0</v>
      </c>
      <c r="C100" s="15" t="s">
        <v>15</v>
      </c>
      <c r="D100" s="16">
        <v>0</v>
      </c>
      <c r="E100" s="16">
        <v>0</v>
      </c>
      <c r="F100" s="16">
        <v>0</v>
      </c>
      <c r="G100" s="27">
        <v>0</v>
      </c>
      <c r="H100" s="28"/>
      <c r="I100" s="16">
        <v>0</v>
      </c>
    </row>
    <row r="101" spans="1:9" ht="15.95" customHeight="1" x14ac:dyDescent="0.2">
      <c r="A101" s="15" t="s">
        <v>38</v>
      </c>
      <c r="B101" s="16">
        <v>80</v>
      </c>
      <c r="C101" s="15" t="s">
        <v>16</v>
      </c>
      <c r="D101" s="16">
        <v>80</v>
      </c>
      <c r="E101" s="16">
        <v>7</v>
      </c>
      <c r="F101" s="16">
        <v>57</v>
      </c>
      <c r="G101" s="17">
        <v>8.75</v>
      </c>
      <c r="H101" s="18"/>
      <c r="I101" s="29">
        <v>8.75</v>
      </c>
    </row>
    <row r="102" spans="1:9" ht="15.95" customHeight="1" x14ac:dyDescent="0.2">
      <c r="A102" s="15" t="s">
        <v>39</v>
      </c>
      <c r="B102" s="16">
        <v>30</v>
      </c>
      <c r="C102" s="15" t="s">
        <v>13</v>
      </c>
      <c r="D102" s="16">
        <v>56</v>
      </c>
      <c r="E102" s="16">
        <v>8</v>
      </c>
      <c r="F102" s="16">
        <v>42</v>
      </c>
      <c r="G102" s="17">
        <v>11.11</v>
      </c>
      <c r="H102" s="18"/>
      <c r="I102" s="29">
        <v>19.05</v>
      </c>
    </row>
    <row r="103" spans="1:9" ht="15.95" customHeight="1" x14ac:dyDescent="0.2">
      <c r="A103" s="30"/>
      <c r="B103" s="16">
        <v>10</v>
      </c>
      <c r="C103" s="15" t="s">
        <v>14</v>
      </c>
      <c r="D103" s="16">
        <v>13</v>
      </c>
      <c r="E103" s="16">
        <v>3</v>
      </c>
      <c r="F103" s="16">
        <v>8</v>
      </c>
      <c r="G103" s="17">
        <v>4.17</v>
      </c>
      <c r="H103" s="18"/>
      <c r="I103" s="29">
        <v>7.14</v>
      </c>
    </row>
    <row r="104" spans="1:9" ht="17.100000000000001" customHeight="1" x14ac:dyDescent="0.2">
      <c r="A104" s="30"/>
      <c r="B104" s="16">
        <v>2</v>
      </c>
      <c r="C104" s="15" t="s">
        <v>15</v>
      </c>
      <c r="D104" s="16">
        <v>3</v>
      </c>
      <c r="E104" s="16">
        <v>0</v>
      </c>
      <c r="F104" s="16">
        <v>3</v>
      </c>
      <c r="G104" s="27">
        <v>0</v>
      </c>
      <c r="H104" s="28"/>
      <c r="I104" s="16">
        <v>0</v>
      </c>
    </row>
    <row r="105" spans="1:9" ht="15.95" customHeight="1" x14ac:dyDescent="0.2">
      <c r="A105" s="15" t="s">
        <v>39</v>
      </c>
      <c r="B105" s="16">
        <v>42</v>
      </c>
      <c r="C105" s="15" t="s">
        <v>16</v>
      </c>
      <c r="D105" s="16">
        <v>72</v>
      </c>
      <c r="E105" s="16">
        <v>11</v>
      </c>
      <c r="F105" s="16">
        <v>53</v>
      </c>
      <c r="G105" s="17">
        <v>15.28</v>
      </c>
      <c r="H105" s="18"/>
      <c r="I105" s="29">
        <v>26.19</v>
      </c>
    </row>
    <row r="106" spans="1:9" ht="15.95" customHeight="1" x14ac:dyDescent="0.2">
      <c r="A106" s="15" t="s">
        <v>40</v>
      </c>
      <c r="B106" s="16">
        <v>6</v>
      </c>
      <c r="C106" s="15" t="s">
        <v>13</v>
      </c>
      <c r="D106" s="16">
        <v>18</v>
      </c>
      <c r="E106" s="16">
        <v>2</v>
      </c>
      <c r="F106" s="16">
        <v>15</v>
      </c>
      <c r="G106" s="39">
        <v>6.9</v>
      </c>
      <c r="H106" s="40"/>
      <c r="I106" s="29">
        <v>18.18</v>
      </c>
    </row>
    <row r="107" spans="1:9" ht="15.95" customHeight="1" x14ac:dyDescent="0.2">
      <c r="A107" s="30"/>
      <c r="B107" s="16">
        <v>1</v>
      </c>
      <c r="C107" s="15" t="s">
        <v>14</v>
      </c>
      <c r="D107" s="16">
        <v>6</v>
      </c>
      <c r="E107" s="16">
        <v>1</v>
      </c>
      <c r="F107" s="16">
        <v>5</v>
      </c>
      <c r="G107" s="17">
        <v>3.45</v>
      </c>
      <c r="H107" s="18"/>
      <c r="I107" s="29">
        <v>9.09</v>
      </c>
    </row>
    <row r="108" spans="1:9" ht="15.95" customHeight="1" x14ac:dyDescent="0.2">
      <c r="A108" s="30"/>
      <c r="B108" s="16">
        <v>4</v>
      </c>
      <c r="C108" s="15" t="s">
        <v>15</v>
      </c>
      <c r="D108" s="16">
        <v>5</v>
      </c>
      <c r="E108" s="16">
        <v>0</v>
      </c>
      <c r="F108" s="16">
        <v>3</v>
      </c>
      <c r="G108" s="27">
        <v>0</v>
      </c>
      <c r="H108" s="28"/>
      <c r="I108" s="16">
        <v>0</v>
      </c>
    </row>
    <row r="109" spans="1:9" ht="15.95" customHeight="1" x14ac:dyDescent="0.2">
      <c r="A109" s="15" t="s">
        <v>40</v>
      </c>
      <c r="B109" s="16">
        <v>11</v>
      </c>
      <c r="C109" s="15" t="s">
        <v>16</v>
      </c>
      <c r="D109" s="16">
        <v>29</v>
      </c>
      <c r="E109" s="16">
        <v>3</v>
      </c>
      <c r="F109" s="16">
        <v>23</v>
      </c>
      <c r="G109" s="17">
        <v>10.34</v>
      </c>
      <c r="H109" s="18"/>
      <c r="I109" s="29">
        <v>27.27</v>
      </c>
    </row>
    <row r="110" spans="1:9" ht="15.95" customHeight="1" x14ac:dyDescent="0.2">
      <c r="A110" s="15" t="s">
        <v>41</v>
      </c>
      <c r="B110" s="16">
        <v>8</v>
      </c>
      <c r="C110" s="15" t="s">
        <v>13</v>
      </c>
      <c r="D110" s="16">
        <v>15</v>
      </c>
      <c r="E110" s="16">
        <v>1</v>
      </c>
      <c r="F110" s="16">
        <v>12</v>
      </c>
      <c r="G110" s="17">
        <v>3.23</v>
      </c>
      <c r="H110" s="18"/>
      <c r="I110" s="29">
        <v>7.14</v>
      </c>
    </row>
    <row r="111" spans="1:9" ht="17.100000000000001" customHeight="1" x14ac:dyDescent="0.2">
      <c r="A111" s="30"/>
      <c r="B111" s="16">
        <v>1</v>
      </c>
      <c r="C111" s="15" t="s">
        <v>14</v>
      </c>
      <c r="D111" s="16">
        <v>1</v>
      </c>
      <c r="E111" s="16">
        <v>0</v>
      </c>
      <c r="F111" s="16">
        <v>0</v>
      </c>
      <c r="G111" s="27">
        <v>0</v>
      </c>
      <c r="H111" s="28"/>
      <c r="I111" s="16">
        <v>0</v>
      </c>
    </row>
    <row r="112" spans="1:9" ht="15.95" customHeight="1" x14ac:dyDescent="0.2">
      <c r="A112" s="30"/>
      <c r="B112" s="16">
        <v>5</v>
      </c>
      <c r="C112" s="15" t="s">
        <v>15</v>
      </c>
      <c r="D112" s="16">
        <v>15</v>
      </c>
      <c r="E112" s="16">
        <v>1</v>
      </c>
      <c r="F112" s="16">
        <v>12</v>
      </c>
      <c r="G112" s="17">
        <v>3.23</v>
      </c>
      <c r="H112" s="18"/>
      <c r="I112" s="29">
        <v>7.14</v>
      </c>
    </row>
    <row r="113" spans="1:10" ht="15.95" customHeight="1" x14ac:dyDescent="0.2">
      <c r="A113" s="15" t="s">
        <v>41</v>
      </c>
      <c r="B113" s="16">
        <v>14</v>
      </c>
      <c r="C113" s="15" t="s">
        <v>16</v>
      </c>
      <c r="D113" s="16">
        <v>31</v>
      </c>
      <c r="E113" s="16">
        <v>2</v>
      </c>
      <c r="F113" s="16">
        <v>24</v>
      </c>
      <c r="G113" s="17">
        <v>6.45</v>
      </c>
      <c r="H113" s="18"/>
      <c r="I113" s="29">
        <v>14.29</v>
      </c>
    </row>
    <row r="114" spans="1:10" ht="15.95" customHeight="1" x14ac:dyDescent="0.2">
      <c r="A114" s="15" t="s">
        <v>42</v>
      </c>
      <c r="B114" s="16">
        <v>4</v>
      </c>
      <c r="C114" s="15" t="s">
        <v>13</v>
      </c>
      <c r="D114" s="16">
        <v>3</v>
      </c>
      <c r="E114" s="16">
        <v>1</v>
      </c>
      <c r="F114" s="16">
        <v>2</v>
      </c>
      <c r="G114" s="27">
        <v>25</v>
      </c>
      <c r="H114" s="28"/>
      <c r="I114" s="16">
        <v>20</v>
      </c>
    </row>
    <row r="115" spans="1:10" ht="15.95" customHeight="1" x14ac:dyDescent="0.2">
      <c r="A115" s="30"/>
      <c r="B115" s="16">
        <v>1</v>
      </c>
      <c r="C115" s="15" t="s">
        <v>14</v>
      </c>
      <c r="D115" s="16">
        <v>1</v>
      </c>
      <c r="E115" s="16">
        <v>0</v>
      </c>
      <c r="F115" s="16">
        <v>1</v>
      </c>
      <c r="G115" s="27">
        <v>0</v>
      </c>
      <c r="H115" s="28"/>
      <c r="I115" s="16">
        <v>0</v>
      </c>
    </row>
    <row r="116" spans="1:10" ht="15.95" customHeight="1" x14ac:dyDescent="0.2">
      <c r="A116" s="30"/>
      <c r="B116" s="16">
        <v>0</v>
      </c>
      <c r="C116" s="15" t="s">
        <v>15</v>
      </c>
      <c r="D116" s="16">
        <v>0</v>
      </c>
      <c r="E116" s="16">
        <v>0</v>
      </c>
      <c r="F116" s="16">
        <v>0</v>
      </c>
      <c r="G116" s="27">
        <v>0</v>
      </c>
      <c r="H116" s="28"/>
      <c r="I116" s="16">
        <v>0</v>
      </c>
    </row>
    <row r="117" spans="1:10" ht="17.100000000000001" customHeight="1" x14ac:dyDescent="0.2">
      <c r="A117" s="15" t="s">
        <v>42</v>
      </c>
      <c r="B117" s="16">
        <v>5</v>
      </c>
      <c r="C117" s="15" t="s">
        <v>16</v>
      </c>
      <c r="D117" s="16">
        <v>4</v>
      </c>
      <c r="E117" s="16">
        <v>1</v>
      </c>
      <c r="F117" s="16">
        <v>3</v>
      </c>
      <c r="G117" s="27">
        <v>25</v>
      </c>
      <c r="H117" s="28"/>
      <c r="I117" s="16">
        <v>20</v>
      </c>
    </row>
    <row r="118" spans="1:10" ht="15.95" customHeight="1" x14ac:dyDescent="0.2">
      <c r="A118" s="15" t="s">
        <v>43</v>
      </c>
      <c r="B118" s="16">
        <v>12</v>
      </c>
      <c r="C118" s="15" t="s">
        <v>13</v>
      </c>
      <c r="D118" s="16">
        <v>30</v>
      </c>
      <c r="E118" s="16">
        <v>1</v>
      </c>
      <c r="F118" s="16">
        <v>27</v>
      </c>
      <c r="G118" s="27">
        <v>2</v>
      </c>
      <c r="H118" s="28"/>
      <c r="I118" s="29">
        <v>5.88</v>
      </c>
    </row>
    <row r="119" spans="1:10" ht="15.95" customHeight="1" x14ac:dyDescent="0.2">
      <c r="A119" s="30"/>
      <c r="B119" s="16">
        <v>3</v>
      </c>
      <c r="C119" s="15" t="s">
        <v>14</v>
      </c>
      <c r="D119" s="16">
        <v>13</v>
      </c>
      <c r="E119" s="16">
        <v>1</v>
      </c>
      <c r="F119" s="16">
        <v>12</v>
      </c>
      <c r="G119" s="27">
        <v>2</v>
      </c>
      <c r="H119" s="28"/>
      <c r="I119" s="29">
        <v>5.88</v>
      </c>
    </row>
    <row r="120" spans="1:10" ht="15.95" customHeight="1" x14ac:dyDescent="0.2">
      <c r="A120" s="30"/>
      <c r="B120" s="16">
        <v>2</v>
      </c>
      <c r="C120" s="15" t="s">
        <v>15</v>
      </c>
      <c r="D120" s="16">
        <v>7</v>
      </c>
      <c r="E120" s="16">
        <v>0</v>
      </c>
      <c r="F120" s="16">
        <v>5</v>
      </c>
      <c r="G120" s="27">
        <v>0</v>
      </c>
      <c r="H120" s="28"/>
      <c r="I120" s="16">
        <v>0</v>
      </c>
    </row>
    <row r="121" spans="1:10" ht="15.95" customHeight="1" x14ac:dyDescent="0.2">
      <c r="A121" s="15" t="s">
        <v>43</v>
      </c>
      <c r="B121" s="16">
        <v>17</v>
      </c>
      <c r="C121" s="15" t="s">
        <v>16</v>
      </c>
      <c r="D121" s="16">
        <v>50</v>
      </c>
      <c r="E121" s="16">
        <v>2</v>
      </c>
      <c r="F121" s="16">
        <v>44</v>
      </c>
      <c r="G121" s="27">
        <v>4</v>
      </c>
      <c r="H121" s="28"/>
      <c r="I121" s="29">
        <v>11.76</v>
      </c>
    </row>
    <row r="122" spans="1:10" ht="29.1" customHeight="1" x14ac:dyDescent="0.2">
      <c r="A122" s="15" t="s">
        <v>44</v>
      </c>
      <c r="B122" s="16">
        <v>1</v>
      </c>
      <c r="C122" s="15" t="s">
        <v>13</v>
      </c>
      <c r="D122" s="16">
        <v>2</v>
      </c>
      <c r="E122" s="16">
        <v>0</v>
      </c>
      <c r="F122" s="16">
        <v>2</v>
      </c>
      <c r="G122" s="27">
        <v>0</v>
      </c>
      <c r="H122" s="28"/>
      <c r="I122" s="16">
        <v>0</v>
      </c>
    </row>
    <row r="123" spans="1:10" ht="17.100000000000001" customHeight="1" x14ac:dyDescent="0.2">
      <c r="A123" s="30"/>
      <c r="B123" s="16">
        <v>0</v>
      </c>
      <c r="C123" s="15" t="s">
        <v>14</v>
      </c>
      <c r="D123" s="16">
        <v>0</v>
      </c>
      <c r="E123" s="16">
        <v>0</v>
      </c>
      <c r="F123" s="16">
        <v>0</v>
      </c>
      <c r="G123" s="27">
        <v>0</v>
      </c>
      <c r="H123" s="28"/>
      <c r="I123" s="16">
        <v>0</v>
      </c>
    </row>
    <row r="124" spans="1:10" ht="15.95" customHeight="1" x14ac:dyDescent="0.2">
      <c r="A124" s="30"/>
      <c r="B124" s="16">
        <v>0</v>
      </c>
      <c r="C124" s="15" t="s">
        <v>15</v>
      </c>
      <c r="D124" s="16">
        <v>0</v>
      </c>
      <c r="E124" s="16">
        <v>0</v>
      </c>
      <c r="F124" s="16">
        <v>0</v>
      </c>
      <c r="G124" s="27">
        <v>0</v>
      </c>
      <c r="H124" s="28"/>
      <c r="I124" s="16">
        <v>0</v>
      </c>
    </row>
    <row r="125" spans="1:10" ht="29.1" customHeight="1" x14ac:dyDescent="0.2">
      <c r="A125" s="15" t="s">
        <v>44</v>
      </c>
      <c r="B125" s="16">
        <v>1</v>
      </c>
      <c r="C125" s="15" t="s">
        <v>16</v>
      </c>
      <c r="D125" s="16">
        <v>2</v>
      </c>
      <c r="E125" s="16">
        <v>0</v>
      </c>
      <c r="F125" s="16">
        <v>2</v>
      </c>
      <c r="G125" s="27">
        <v>0</v>
      </c>
      <c r="H125" s="28"/>
      <c r="I125" s="16">
        <v>0</v>
      </c>
    </row>
    <row r="126" spans="1:10" ht="15.75" customHeight="1" x14ac:dyDescent="0.2">
      <c r="A126" s="10" t="s">
        <v>2</v>
      </c>
      <c r="B126" s="10" t="s">
        <v>3</v>
      </c>
      <c r="C126" s="11" t="s">
        <v>4</v>
      </c>
      <c r="D126" s="12" t="s">
        <v>5</v>
      </c>
      <c r="E126" s="13"/>
      <c r="F126" s="14"/>
      <c r="G126" s="12" t="s">
        <v>6</v>
      </c>
      <c r="H126" s="13"/>
      <c r="I126" s="14"/>
      <c r="J126" s="5"/>
    </row>
    <row r="127" spans="1:10" ht="56.1" customHeight="1" x14ac:dyDescent="0.2">
      <c r="A127" s="19"/>
      <c r="B127" s="19"/>
      <c r="C127" s="20"/>
      <c r="D127" s="21" t="s">
        <v>7</v>
      </c>
      <c r="E127" s="21" t="s">
        <v>8</v>
      </c>
      <c r="F127" s="22" t="s">
        <v>9</v>
      </c>
      <c r="G127" s="45" t="s">
        <v>10</v>
      </c>
      <c r="H127" s="24"/>
      <c r="I127" s="46" t="s">
        <v>11</v>
      </c>
    </row>
    <row r="128" spans="1:10" ht="15.95" customHeight="1" x14ac:dyDescent="0.2">
      <c r="A128" s="15" t="s">
        <v>45</v>
      </c>
      <c r="B128" s="16">
        <v>1</v>
      </c>
      <c r="C128" s="15" t="s">
        <v>13</v>
      </c>
      <c r="D128" s="16">
        <v>2</v>
      </c>
      <c r="E128" s="16">
        <v>0</v>
      </c>
      <c r="F128" s="16">
        <v>2</v>
      </c>
      <c r="G128" s="27">
        <v>0</v>
      </c>
      <c r="H128" s="28"/>
      <c r="I128" s="16">
        <v>0</v>
      </c>
      <c r="J128" s="5"/>
    </row>
    <row r="129" spans="1:10" ht="15.95" customHeight="1" x14ac:dyDescent="0.2">
      <c r="A129" s="30"/>
      <c r="B129" s="16">
        <v>0</v>
      </c>
      <c r="C129" s="15" t="s">
        <v>14</v>
      </c>
      <c r="D129" s="16">
        <v>0</v>
      </c>
      <c r="E129" s="16">
        <v>0</v>
      </c>
      <c r="F129" s="16">
        <v>0</v>
      </c>
      <c r="G129" s="27">
        <v>0</v>
      </c>
      <c r="H129" s="28"/>
      <c r="I129" s="16">
        <v>0</v>
      </c>
      <c r="J129" s="5"/>
    </row>
    <row r="130" spans="1:10" ht="15.95" customHeight="1" x14ac:dyDescent="0.2">
      <c r="A130" s="30"/>
      <c r="B130" s="16">
        <v>0</v>
      </c>
      <c r="C130" s="15" t="s">
        <v>15</v>
      </c>
      <c r="D130" s="16">
        <v>0</v>
      </c>
      <c r="E130" s="16">
        <v>0</v>
      </c>
      <c r="F130" s="16">
        <v>0</v>
      </c>
      <c r="G130" s="27">
        <v>0</v>
      </c>
      <c r="H130" s="28"/>
      <c r="I130" s="16">
        <v>0</v>
      </c>
      <c r="J130" s="5"/>
    </row>
    <row r="131" spans="1:10" ht="15.95" customHeight="1" x14ac:dyDescent="0.2">
      <c r="A131" s="15" t="s">
        <v>45</v>
      </c>
      <c r="B131" s="16">
        <v>1</v>
      </c>
      <c r="C131" s="15" t="s">
        <v>16</v>
      </c>
      <c r="D131" s="16">
        <v>2</v>
      </c>
      <c r="E131" s="16">
        <v>0</v>
      </c>
      <c r="F131" s="16">
        <v>2</v>
      </c>
      <c r="G131" s="27">
        <v>0</v>
      </c>
      <c r="H131" s="28"/>
      <c r="I131" s="16">
        <v>0</v>
      </c>
      <c r="J131" s="5"/>
    </row>
    <row r="132" spans="1:10" ht="42.95" customHeight="1" x14ac:dyDescent="0.2">
      <c r="A132" s="15" t="s">
        <v>46</v>
      </c>
      <c r="B132" s="35">
        <v>1</v>
      </c>
      <c r="C132" s="36" t="s">
        <v>13</v>
      </c>
      <c r="D132" s="35">
        <v>0</v>
      </c>
      <c r="E132" s="35">
        <v>0</v>
      </c>
      <c r="F132" s="35">
        <v>0</v>
      </c>
      <c r="G132" s="37">
        <v>0</v>
      </c>
      <c r="H132" s="38"/>
      <c r="I132" s="35">
        <v>0</v>
      </c>
    </row>
    <row r="133" spans="1:10" ht="15.95" customHeight="1" x14ac:dyDescent="0.2">
      <c r="A133" s="30"/>
      <c r="B133" s="16">
        <v>0</v>
      </c>
      <c r="C133" s="15" t="s">
        <v>14</v>
      </c>
      <c r="D133" s="16">
        <v>0</v>
      </c>
      <c r="E133" s="16">
        <v>0</v>
      </c>
      <c r="F133" s="16">
        <v>0</v>
      </c>
      <c r="G133" s="27">
        <v>0</v>
      </c>
      <c r="H133" s="28"/>
      <c r="I133" s="16">
        <v>0</v>
      </c>
      <c r="J133" s="5"/>
    </row>
    <row r="134" spans="1:10" ht="15.95" customHeight="1" x14ac:dyDescent="0.2">
      <c r="A134" s="30"/>
      <c r="B134" s="16">
        <v>1</v>
      </c>
      <c r="C134" s="15" t="s">
        <v>15</v>
      </c>
      <c r="D134" s="16">
        <v>1</v>
      </c>
      <c r="E134" s="16">
        <v>1</v>
      </c>
      <c r="F134" s="16">
        <v>0</v>
      </c>
      <c r="G134" s="27">
        <v>100</v>
      </c>
      <c r="H134" s="28"/>
      <c r="I134" s="16">
        <v>50</v>
      </c>
      <c r="J134" s="5"/>
    </row>
    <row r="135" spans="1:10" ht="42.95" customHeight="1" x14ac:dyDescent="0.2">
      <c r="A135" s="15" t="s">
        <v>46</v>
      </c>
      <c r="B135" s="35">
        <v>2</v>
      </c>
      <c r="C135" s="36" t="s">
        <v>16</v>
      </c>
      <c r="D135" s="35">
        <v>1</v>
      </c>
      <c r="E135" s="35">
        <v>1</v>
      </c>
      <c r="F135" s="35">
        <v>0</v>
      </c>
      <c r="G135" s="37">
        <v>100</v>
      </c>
      <c r="H135" s="38"/>
      <c r="I135" s="35">
        <v>50</v>
      </c>
    </row>
    <row r="136" spans="1:10" ht="15.95" customHeight="1" x14ac:dyDescent="0.2">
      <c r="A136" s="15" t="s">
        <v>47</v>
      </c>
      <c r="B136" s="16">
        <v>6</v>
      </c>
      <c r="C136" s="15" t="s">
        <v>13</v>
      </c>
      <c r="D136" s="16">
        <v>19</v>
      </c>
      <c r="E136" s="16">
        <v>2</v>
      </c>
      <c r="F136" s="16">
        <v>17</v>
      </c>
      <c r="G136" s="39">
        <v>8.6999999999999993</v>
      </c>
      <c r="H136" s="40"/>
      <c r="I136" s="29">
        <v>28.57</v>
      </c>
      <c r="J136" s="5"/>
    </row>
    <row r="137" spans="1:10" ht="15.95" customHeight="1" x14ac:dyDescent="0.2">
      <c r="A137" s="30"/>
      <c r="B137" s="16">
        <v>1</v>
      </c>
      <c r="C137" s="15" t="s">
        <v>14</v>
      </c>
      <c r="D137" s="16">
        <v>4</v>
      </c>
      <c r="E137" s="16">
        <v>0</v>
      </c>
      <c r="F137" s="16">
        <v>4</v>
      </c>
      <c r="G137" s="27">
        <v>0</v>
      </c>
      <c r="H137" s="28"/>
      <c r="I137" s="16">
        <v>0</v>
      </c>
      <c r="J137" s="5"/>
    </row>
    <row r="138" spans="1:10" ht="15.95" customHeight="1" x14ac:dyDescent="0.2">
      <c r="A138" s="30"/>
      <c r="B138" s="16">
        <v>0</v>
      </c>
      <c r="C138" s="15" t="s">
        <v>15</v>
      </c>
      <c r="D138" s="16">
        <v>0</v>
      </c>
      <c r="E138" s="16">
        <v>0</v>
      </c>
      <c r="F138" s="16">
        <v>0</v>
      </c>
      <c r="G138" s="27">
        <v>0</v>
      </c>
      <c r="H138" s="28"/>
      <c r="I138" s="16">
        <v>0</v>
      </c>
      <c r="J138" s="5"/>
    </row>
    <row r="139" spans="1:10" ht="15.95" customHeight="1" x14ac:dyDescent="0.2">
      <c r="A139" s="15" t="s">
        <v>47</v>
      </c>
      <c r="B139" s="16">
        <v>7</v>
      </c>
      <c r="C139" s="15" t="s">
        <v>16</v>
      </c>
      <c r="D139" s="16">
        <v>23</v>
      </c>
      <c r="E139" s="16">
        <v>2</v>
      </c>
      <c r="F139" s="16">
        <v>21</v>
      </c>
      <c r="G139" s="39">
        <v>8.6999999999999993</v>
      </c>
      <c r="H139" s="40"/>
      <c r="I139" s="29">
        <v>28.57</v>
      </c>
      <c r="J139" s="5"/>
    </row>
    <row r="140" spans="1:10" ht="15.95" customHeight="1" x14ac:dyDescent="0.2">
      <c r="A140" s="15" t="s">
        <v>48</v>
      </c>
      <c r="B140" s="16">
        <v>0</v>
      </c>
      <c r="C140" s="15" t="s">
        <v>13</v>
      </c>
      <c r="D140" s="16">
        <v>0</v>
      </c>
      <c r="E140" s="16">
        <v>0</v>
      </c>
      <c r="F140" s="16">
        <v>0</v>
      </c>
      <c r="G140" s="27">
        <v>0</v>
      </c>
      <c r="H140" s="28"/>
      <c r="I140" s="16">
        <v>0</v>
      </c>
      <c r="J140" s="5"/>
    </row>
    <row r="141" spans="1:10" ht="17.100000000000001" customHeight="1" x14ac:dyDescent="0.2">
      <c r="A141" s="30"/>
      <c r="B141" s="16">
        <v>0</v>
      </c>
      <c r="C141" s="15" t="s">
        <v>14</v>
      </c>
      <c r="D141" s="16">
        <v>0</v>
      </c>
      <c r="E141" s="16">
        <v>0</v>
      </c>
      <c r="F141" s="16">
        <v>0</v>
      </c>
      <c r="G141" s="27">
        <v>0</v>
      </c>
      <c r="H141" s="28"/>
      <c r="I141" s="16">
        <v>0</v>
      </c>
      <c r="J141" s="5"/>
    </row>
    <row r="142" spans="1:10" ht="15.95" customHeight="1" x14ac:dyDescent="0.2">
      <c r="A142" s="30"/>
      <c r="B142" s="16">
        <v>1</v>
      </c>
      <c r="C142" s="15" t="s">
        <v>15</v>
      </c>
      <c r="D142" s="16">
        <v>0</v>
      </c>
      <c r="E142" s="16">
        <v>0</v>
      </c>
      <c r="F142" s="16">
        <v>0</v>
      </c>
      <c r="G142" s="27">
        <v>0</v>
      </c>
      <c r="H142" s="28"/>
      <c r="I142" s="16">
        <v>0</v>
      </c>
      <c r="J142" s="5"/>
    </row>
    <row r="143" spans="1:10" ht="15.95" customHeight="1" x14ac:dyDescent="0.2">
      <c r="A143" s="15" t="s">
        <v>48</v>
      </c>
      <c r="B143" s="16">
        <v>1</v>
      </c>
      <c r="C143" s="15" t="s">
        <v>16</v>
      </c>
      <c r="D143" s="16">
        <v>0</v>
      </c>
      <c r="E143" s="16">
        <v>0</v>
      </c>
      <c r="F143" s="16">
        <v>0</v>
      </c>
      <c r="G143" s="27">
        <v>0</v>
      </c>
      <c r="H143" s="28"/>
      <c r="I143" s="16">
        <v>0</v>
      </c>
      <c r="J143" s="5"/>
    </row>
    <row r="144" spans="1:10" ht="15.95" customHeight="1" x14ac:dyDescent="0.2">
      <c r="A144" s="15" t="s">
        <v>49</v>
      </c>
      <c r="B144" s="16">
        <v>1</v>
      </c>
      <c r="C144" s="15" t="s">
        <v>13</v>
      </c>
      <c r="D144" s="16">
        <v>3</v>
      </c>
      <c r="E144" s="16">
        <v>0</v>
      </c>
      <c r="F144" s="16">
        <v>3</v>
      </c>
      <c r="G144" s="27">
        <v>0</v>
      </c>
      <c r="H144" s="28"/>
      <c r="I144" s="16">
        <v>0</v>
      </c>
      <c r="J144" s="5"/>
    </row>
    <row r="145" spans="1:10" ht="15.95" customHeight="1" x14ac:dyDescent="0.2">
      <c r="A145" s="30"/>
      <c r="B145" s="16">
        <v>0</v>
      </c>
      <c r="C145" s="15" t="s">
        <v>14</v>
      </c>
      <c r="D145" s="16">
        <v>0</v>
      </c>
      <c r="E145" s="16">
        <v>0</v>
      </c>
      <c r="F145" s="16">
        <v>0</v>
      </c>
      <c r="G145" s="27">
        <v>0</v>
      </c>
      <c r="H145" s="28"/>
      <c r="I145" s="16">
        <v>0</v>
      </c>
      <c r="J145" s="5"/>
    </row>
    <row r="146" spans="1:10" ht="15.95" customHeight="1" x14ac:dyDescent="0.2">
      <c r="A146" s="30"/>
      <c r="B146" s="16">
        <v>0</v>
      </c>
      <c r="C146" s="15" t="s">
        <v>15</v>
      </c>
      <c r="D146" s="16">
        <v>0</v>
      </c>
      <c r="E146" s="16">
        <v>0</v>
      </c>
      <c r="F146" s="16">
        <v>0</v>
      </c>
      <c r="G146" s="27">
        <v>0</v>
      </c>
      <c r="H146" s="28"/>
      <c r="I146" s="16">
        <v>0</v>
      </c>
      <c r="J146" s="5"/>
    </row>
    <row r="147" spans="1:10" ht="17.100000000000001" customHeight="1" x14ac:dyDescent="0.2">
      <c r="A147" s="15" t="s">
        <v>49</v>
      </c>
      <c r="B147" s="16">
        <v>1</v>
      </c>
      <c r="C147" s="15" t="s">
        <v>16</v>
      </c>
      <c r="D147" s="16">
        <v>3</v>
      </c>
      <c r="E147" s="16">
        <v>0</v>
      </c>
      <c r="F147" s="16">
        <v>3</v>
      </c>
      <c r="G147" s="27">
        <v>0</v>
      </c>
      <c r="H147" s="28"/>
      <c r="I147" s="16">
        <v>0</v>
      </c>
      <c r="J147" s="5"/>
    </row>
    <row r="148" spans="1:10" ht="29.1" customHeight="1" x14ac:dyDescent="0.2">
      <c r="A148" s="15" t="s">
        <v>50</v>
      </c>
      <c r="B148" s="16">
        <v>5</v>
      </c>
      <c r="C148" s="15" t="s">
        <v>13</v>
      </c>
      <c r="D148" s="16">
        <v>7</v>
      </c>
      <c r="E148" s="16">
        <v>0</v>
      </c>
      <c r="F148" s="16">
        <v>6</v>
      </c>
      <c r="G148" s="27">
        <v>0</v>
      </c>
      <c r="H148" s="28"/>
      <c r="I148" s="16">
        <v>0</v>
      </c>
      <c r="J148" s="34"/>
    </row>
    <row r="149" spans="1:10" ht="15.95" customHeight="1" x14ac:dyDescent="0.2">
      <c r="A149" s="30"/>
      <c r="B149" s="16">
        <v>0</v>
      </c>
      <c r="C149" s="15" t="s">
        <v>14</v>
      </c>
      <c r="D149" s="16">
        <v>0</v>
      </c>
      <c r="E149" s="16">
        <v>0</v>
      </c>
      <c r="F149" s="16">
        <v>0</v>
      </c>
      <c r="G149" s="27">
        <v>0</v>
      </c>
      <c r="H149" s="28"/>
      <c r="I149" s="16">
        <v>0</v>
      </c>
      <c r="J149" s="5"/>
    </row>
    <row r="150" spans="1:10" ht="15.95" customHeight="1" x14ac:dyDescent="0.2">
      <c r="A150" s="30"/>
      <c r="B150" s="16">
        <v>0</v>
      </c>
      <c r="C150" s="15" t="s">
        <v>15</v>
      </c>
      <c r="D150" s="16">
        <v>0</v>
      </c>
      <c r="E150" s="16">
        <v>0</v>
      </c>
      <c r="F150" s="16">
        <v>0</v>
      </c>
      <c r="G150" s="27">
        <v>0</v>
      </c>
      <c r="H150" s="28"/>
      <c r="I150" s="16">
        <v>0</v>
      </c>
      <c r="J150" s="5"/>
    </row>
    <row r="151" spans="1:10" ht="30" customHeight="1" x14ac:dyDescent="0.2">
      <c r="A151" s="15" t="s">
        <v>50</v>
      </c>
      <c r="B151" s="16">
        <v>5</v>
      </c>
      <c r="C151" s="15" t="s">
        <v>16</v>
      </c>
      <c r="D151" s="16">
        <v>7</v>
      </c>
      <c r="E151" s="16">
        <v>0</v>
      </c>
      <c r="F151" s="16">
        <v>6</v>
      </c>
      <c r="G151" s="27">
        <v>0</v>
      </c>
      <c r="H151" s="28"/>
      <c r="I151" s="16">
        <v>0</v>
      </c>
      <c r="J151" s="34"/>
    </row>
    <row r="152" spans="1:10" ht="15.95" customHeight="1" x14ac:dyDescent="0.2">
      <c r="A152" s="15" t="s">
        <v>51</v>
      </c>
      <c r="B152" s="16">
        <v>1</v>
      </c>
      <c r="C152" s="15" t="s">
        <v>13</v>
      </c>
      <c r="D152" s="16">
        <v>0</v>
      </c>
      <c r="E152" s="16">
        <v>0</v>
      </c>
      <c r="F152" s="16">
        <v>0</v>
      </c>
      <c r="G152" s="27">
        <v>0</v>
      </c>
      <c r="H152" s="28"/>
      <c r="I152" s="16">
        <v>0</v>
      </c>
      <c r="J152" s="5"/>
    </row>
    <row r="153" spans="1:10" ht="15.95" customHeight="1" x14ac:dyDescent="0.2">
      <c r="A153" s="30"/>
      <c r="B153" s="16">
        <v>0</v>
      </c>
      <c r="C153" s="15" t="s">
        <v>14</v>
      </c>
      <c r="D153" s="16">
        <v>0</v>
      </c>
      <c r="E153" s="16">
        <v>0</v>
      </c>
      <c r="F153" s="16">
        <v>0</v>
      </c>
      <c r="G153" s="27">
        <v>0</v>
      </c>
      <c r="H153" s="28"/>
      <c r="I153" s="16">
        <v>0</v>
      </c>
      <c r="J153" s="5"/>
    </row>
    <row r="154" spans="1:10" ht="15.95" customHeight="1" x14ac:dyDescent="0.2">
      <c r="A154" s="30"/>
      <c r="B154" s="16">
        <v>0</v>
      </c>
      <c r="C154" s="15" t="s">
        <v>15</v>
      </c>
      <c r="D154" s="16">
        <v>0</v>
      </c>
      <c r="E154" s="16">
        <v>0</v>
      </c>
      <c r="F154" s="16">
        <v>0</v>
      </c>
      <c r="G154" s="27">
        <v>0</v>
      </c>
      <c r="H154" s="28"/>
      <c r="I154" s="16">
        <v>0</v>
      </c>
      <c r="J154" s="5"/>
    </row>
    <row r="155" spans="1:10" ht="15.95" customHeight="1" x14ac:dyDescent="0.2">
      <c r="A155" s="15" t="s">
        <v>51</v>
      </c>
      <c r="B155" s="16">
        <v>1</v>
      </c>
      <c r="C155" s="15" t="s">
        <v>16</v>
      </c>
      <c r="D155" s="16">
        <v>0</v>
      </c>
      <c r="E155" s="16">
        <v>0</v>
      </c>
      <c r="F155" s="16">
        <v>0</v>
      </c>
      <c r="G155" s="27">
        <v>0</v>
      </c>
      <c r="H155" s="28"/>
      <c r="I155" s="16">
        <v>0</v>
      </c>
      <c r="J155" s="5"/>
    </row>
    <row r="156" spans="1:10" ht="16.5" customHeight="1" x14ac:dyDescent="0.2">
      <c r="A156" s="22" t="s">
        <v>52</v>
      </c>
      <c r="B156" s="41">
        <v>542</v>
      </c>
      <c r="C156" s="30"/>
      <c r="D156" s="41">
        <v>800</v>
      </c>
      <c r="E156" s="41">
        <v>74</v>
      </c>
      <c r="F156" s="41">
        <v>629</v>
      </c>
      <c r="G156" s="42">
        <v>9.25</v>
      </c>
      <c r="H156" s="43"/>
      <c r="I156" s="44">
        <v>13.65</v>
      </c>
      <c r="J156" s="5"/>
    </row>
    <row r="157" spans="1:10" ht="77.849999999999994" customHeight="1" x14ac:dyDescent="0.2">
      <c r="A157" s="1" t="s">
        <v>53</v>
      </c>
      <c r="B157" s="1"/>
      <c r="C157" s="1"/>
      <c r="D157" s="1"/>
      <c r="E157" s="1"/>
      <c r="F157" s="1"/>
      <c r="G157" s="1"/>
      <c r="H157" s="1"/>
      <c r="I157" s="1"/>
      <c r="J157" s="1"/>
    </row>
    <row r="158" spans="1:10" ht="15.75" customHeight="1" x14ac:dyDescent="0.2">
      <c r="A158" s="47" t="s">
        <v>54</v>
      </c>
      <c r="B158" s="47"/>
      <c r="C158" s="47"/>
      <c r="D158" s="47"/>
      <c r="E158" s="47"/>
      <c r="F158" s="47"/>
      <c r="G158" s="47"/>
      <c r="H158" s="47"/>
      <c r="I158" s="47"/>
      <c r="J158" s="47"/>
    </row>
    <row r="159" spans="1:10" ht="38.1" customHeight="1" x14ac:dyDescent="0.2">
      <c r="A159" s="48" t="s">
        <v>55</v>
      </c>
      <c r="B159" s="48"/>
      <c r="C159" s="48"/>
      <c r="D159" s="48"/>
      <c r="E159" s="48"/>
      <c r="F159" s="48"/>
      <c r="G159" s="48"/>
      <c r="H159" s="48"/>
      <c r="I159" s="48"/>
      <c r="J159" s="48"/>
    </row>
    <row r="160" spans="1:10" ht="67.5" customHeight="1" x14ac:dyDescent="0.2">
      <c r="A160" s="49" t="s">
        <v>56</v>
      </c>
      <c r="B160" s="49"/>
      <c r="C160" s="49"/>
      <c r="D160" s="49"/>
      <c r="E160" s="49"/>
      <c r="F160" s="49"/>
      <c r="G160" s="49"/>
      <c r="H160" s="49"/>
      <c r="I160" s="49"/>
      <c r="J160" s="49"/>
    </row>
  </sheetData>
  <mergeCells count="213">
    <mergeCell ref="T40:U40"/>
    <mergeCell ref="T3:U3"/>
    <mergeCell ref="T31:U31"/>
    <mergeCell ref="T32:U32"/>
    <mergeCell ref="T33:U33"/>
    <mergeCell ref="T34:U34"/>
    <mergeCell ref="T35:U35"/>
    <mergeCell ref="T36:U36"/>
    <mergeCell ref="T37:U37"/>
    <mergeCell ref="T38:U38"/>
    <mergeCell ref="T39:U39"/>
    <mergeCell ref="T22:U22"/>
    <mergeCell ref="T23:U23"/>
    <mergeCell ref="T24:U24"/>
    <mergeCell ref="T25:U25"/>
    <mergeCell ref="T26:U26"/>
    <mergeCell ref="T27:U27"/>
    <mergeCell ref="T28:U28"/>
    <mergeCell ref="T29:U29"/>
    <mergeCell ref="T30:U30"/>
    <mergeCell ref="G155:H155"/>
    <mergeCell ref="G156:H156"/>
    <mergeCell ref="A157:J157"/>
    <mergeCell ref="A158:J158"/>
    <mergeCell ref="A159:J159"/>
    <mergeCell ref="A160:J160"/>
    <mergeCell ref="T4:U4"/>
    <mergeCell ref="T5:U5"/>
    <mergeCell ref="T6:U6"/>
    <mergeCell ref="T7:U7"/>
    <mergeCell ref="T8:U8"/>
    <mergeCell ref="T9:U9"/>
    <mergeCell ref="T10:U10"/>
    <mergeCell ref="T11:U11"/>
    <mergeCell ref="T12:U12"/>
    <mergeCell ref="T13:U13"/>
    <mergeCell ref="T14:U14"/>
    <mergeCell ref="T15:U15"/>
    <mergeCell ref="T16:U16"/>
    <mergeCell ref="T17:U17"/>
    <mergeCell ref="T18:U18"/>
    <mergeCell ref="T19:U19"/>
    <mergeCell ref="T20:U20"/>
    <mergeCell ref="T21:U21"/>
    <mergeCell ref="G146:H146"/>
    <mergeCell ref="G147:H147"/>
    <mergeCell ref="G148:H148"/>
    <mergeCell ref="G149:H149"/>
    <mergeCell ref="G150:H150"/>
    <mergeCell ref="G151:H151"/>
    <mergeCell ref="G152:H152"/>
    <mergeCell ref="G153:H153"/>
    <mergeCell ref="G154:H154"/>
    <mergeCell ref="G137:H137"/>
    <mergeCell ref="G138:H138"/>
    <mergeCell ref="G139:H139"/>
    <mergeCell ref="G140:H140"/>
    <mergeCell ref="G141:H141"/>
    <mergeCell ref="G142:H142"/>
    <mergeCell ref="G143:H143"/>
    <mergeCell ref="G144:H144"/>
    <mergeCell ref="G145:H145"/>
    <mergeCell ref="G128:H128"/>
    <mergeCell ref="G129:H129"/>
    <mergeCell ref="G130:H130"/>
    <mergeCell ref="G131:H131"/>
    <mergeCell ref="G132:H132"/>
    <mergeCell ref="G133:H133"/>
    <mergeCell ref="G134:H134"/>
    <mergeCell ref="G135:H135"/>
    <mergeCell ref="G136:H136"/>
    <mergeCell ref="G122:H122"/>
    <mergeCell ref="G123:H123"/>
    <mergeCell ref="G124:H124"/>
    <mergeCell ref="G125:H125"/>
    <mergeCell ref="A126:A127"/>
    <mergeCell ref="B126:B127"/>
    <mergeCell ref="C126:C127"/>
    <mergeCell ref="D126:F126"/>
    <mergeCell ref="G126:I126"/>
    <mergeCell ref="G127:H127"/>
    <mergeCell ref="G113:H113"/>
    <mergeCell ref="G114:H114"/>
    <mergeCell ref="G115:H115"/>
    <mergeCell ref="G116:H116"/>
    <mergeCell ref="G117:H117"/>
    <mergeCell ref="G118:H118"/>
    <mergeCell ref="G119:H119"/>
    <mergeCell ref="G120:H120"/>
    <mergeCell ref="G121:H121"/>
    <mergeCell ref="G104:H104"/>
    <mergeCell ref="G105:H105"/>
    <mergeCell ref="G106:H106"/>
    <mergeCell ref="G107:H107"/>
    <mergeCell ref="G108:H108"/>
    <mergeCell ref="G109:H109"/>
    <mergeCell ref="G110:H110"/>
    <mergeCell ref="G111:H111"/>
    <mergeCell ref="G112:H112"/>
    <mergeCell ref="G95:H95"/>
    <mergeCell ref="G96:H96"/>
    <mergeCell ref="G97:H97"/>
    <mergeCell ref="G98:H98"/>
    <mergeCell ref="G99:H99"/>
    <mergeCell ref="G100:H100"/>
    <mergeCell ref="G101:H101"/>
    <mergeCell ref="G102:H102"/>
    <mergeCell ref="G103:H103"/>
    <mergeCell ref="G86:H86"/>
    <mergeCell ref="G87:H87"/>
    <mergeCell ref="G88:H88"/>
    <mergeCell ref="G89:H89"/>
    <mergeCell ref="G90:H90"/>
    <mergeCell ref="G91:H91"/>
    <mergeCell ref="G92:H92"/>
    <mergeCell ref="G93:H93"/>
    <mergeCell ref="G94:H94"/>
    <mergeCell ref="G80:H80"/>
    <mergeCell ref="G81:H81"/>
    <mergeCell ref="G82:H82"/>
    <mergeCell ref="G83:H83"/>
    <mergeCell ref="A84:A85"/>
    <mergeCell ref="B84:B85"/>
    <mergeCell ref="C84:C85"/>
    <mergeCell ref="D84:F84"/>
    <mergeCell ref="G84:I84"/>
    <mergeCell ref="G85:H85"/>
    <mergeCell ref="G71:H71"/>
    <mergeCell ref="G72:H72"/>
    <mergeCell ref="G73:H73"/>
    <mergeCell ref="G74:H74"/>
    <mergeCell ref="G75:H75"/>
    <mergeCell ref="G76:H76"/>
    <mergeCell ref="G77:H77"/>
    <mergeCell ref="G78:H78"/>
    <mergeCell ref="G79:H79"/>
    <mergeCell ref="G62:H62"/>
    <mergeCell ref="G63:H63"/>
    <mergeCell ref="G64:H64"/>
    <mergeCell ref="G65:H65"/>
    <mergeCell ref="G66:H66"/>
    <mergeCell ref="G67:H67"/>
    <mergeCell ref="G68:H68"/>
    <mergeCell ref="G69:H69"/>
    <mergeCell ref="G70:H70"/>
    <mergeCell ref="G53:H53"/>
    <mergeCell ref="G54:H54"/>
    <mergeCell ref="G55:H55"/>
    <mergeCell ref="G56:H56"/>
    <mergeCell ref="G57:H57"/>
    <mergeCell ref="G58:H58"/>
    <mergeCell ref="G59:H59"/>
    <mergeCell ref="G60:H60"/>
    <mergeCell ref="G61:H61"/>
    <mergeCell ref="G44:H44"/>
    <mergeCell ref="G45:H45"/>
    <mergeCell ref="G46:H46"/>
    <mergeCell ref="G47:H47"/>
    <mergeCell ref="G48:H48"/>
    <mergeCell ref="G49:H49"/>
    <mergeCell ref="G50:H50"/>
    <mergeCell ref="G51:H51"/>
    <mergeCell ref="G52:H52"/>
    <mergeCell ref="G34:H34"/>
    <mergeCell ref="G35:H35"/>
    <mergeCell ref="G36:H36"/>
    <mergeCell ref="G37:H37"/>
    <mergeCell ref="G38:H38"/>
    <mergeCell ref="G39:H39"/>
    <mergeCell ref="G40:H40"/>
    <mergeCell ref="G41:H41"/>
    <mergeCell ref="A42:A43"/>
    <mergeCell ref="B42:B43"/>
    <mergeCell ref="C42:C43"/>
    <mergeCell ref="D42:F42"/>
    <mergeCell ref="G42:I42"/>
    <mergeCell ref="G43:H43"/>
    <mergeCell ref="G25:H25"/>
    <mergeCell ref="G26:H26"/>
    <mergeCell ref="G27:H27"/>
    <mergeCell ref="G28:H28"/>
    <mergeCell ref="G29:H29"/>
    <mergeCell ref="G30:H30"/>
    <mergeCell ref="G31:H31"/>
    <mergeCell ref="G32:H32"/>
    <mergeCell ref="G33:H33"/>
    <mergeCell ref="G16:H16"/>
    <mergeCell ref="G17:H17"/>
    <mergeCell ref="G18:H18"/>
    <mergeCell ref="G19:H19"/>
    <mergeCell ref="G20:H20"/>
    <mergeCell ref="G21:H21"/>
    <mergeCell ref="G22:H22"/>
    <mergeCell ref="G23:H23"/>
    <mergeCell ref="G24:H24"/>
    <mergeCell ref="G7:H7"/>
    <mergeCell ref="G8:H8"/>
    <mergeCell ref="G9:H9"/>
    <mergeCell ref="G10:H10"/>
    <mergeCell ref="G11:H11"/>
    <mergeCell ref="G12:H12"/>
    <mergeCell ref="G13:H13"/>
    <mergeCell ref="G14:H14"/>
    <mergeCell ref="G15:H15"/>
    <mergeCell ref="A1:J1"/>
    <mergeCell ref="B2:G2"/>
    <mergeCell ref="A4:A5"/>
    <mergeCell ref="B4:B5"/>
    <mergeCell ref="C4:C5"/>
    <mergeCell ref="D4:F4"/>
    <mergeCell ref="G4:I4"/>
    <mergeCell ref="G5:H5"/>
    <mergeCell ref="G6:H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E2BC-B75E-44AC-9C69-B81C0AB2F146}">
  <dimension ref="A1:H38"/>
  <sheetViews>
    <sheetView workbookViewId="0">
      <selection activeCell="G24" sqref="G24"/>
    </sheetView>
  </sheetViews>
  <sheetFormatPr defaultRowHeight="14.25" x14ac:dyDescent="0.2"/>
  <cols>
    <col min="1" max="1" width="44" customWidth="1"/>
    <col min="2" max="2" width="18.1640625" customWidth="1"/>
    <col min="3" max="4" width="32.6640625" customWidth="1"/>
    <col min="5" max="5" width="17.5" customWidth="1"/>
    <col min="6" max="6" width="18.1640625" customWidth="1"/>
    <col min="7" max="7" width="86.33203125" style="51" customWidth="1"/>
    <col min="8" max="8" width="73.6640625" customWidth="1"/>
    <col min="9" max="9" width="39.6640625" customWidth="1"/>
  </cols>
  <sheetData>
    <row r="1" spans="1:8" s="50" customFormat="1" ht="12.75" x14ac:dyDescent="0.2">
      <c r="A1" s="53" t="s">
        <v>60</v>
      </c>
      <c r="B1" s="53" t="s">
        <v>61</v>
      </c>
      <c r="C1" s="53" t="s">
        <v>69</v>
      </c>
      <c r="D1" s="53" t="s">
        <v>106</v>
      </c>
      <c r="E1" s="53" t="s">
        <v>63</v>
      </c>
      <c r="F1" s="53" t="s">
        <v>64</v>
      </c>
      <c r="G1" s="53" t="s">
        <v>66</v>
      </c>
      <c r="H1" s="53" t="s">
        <v>68</v>
      </c>
    </row>
    <row r="2" spans="1:8" x14ac:dyDescent="0.2">
      <c r="A2" s="61" t="s">
        <v>97</v>
      </c>
      <c r="B2" s="63">
        <v>1</v>
      </c>
      <c r="C2" s="63">
        <v>2</v>
      </c>
      <c r="D2" s="54">
        <f>(C2/B2)*100</f>
        <v>200</v>
      </c>
      <c r="E2" s="63">
        <v>0</v>
      </c>
      <c r="F2" s="63">
        <v>2</v>
      </c>
      <c r="G2" s="65">
        <v>0</v>
      </c>
      <c r="H2" s="63">
        <v>0</v>
      </c>
    </row>
    <row r="3" spans="1:8" x14ac:dyDescent="0.2">
      <c r="A3" s="52" t="s">
        <v>70</v>
      </c>
      <c r="B3" s="55">
        <v>25</v>
      </c>
      <c r="C3" s="55">
        <v>38</v>
      </c>
      <c r="D3" s="54">
        <f>(C3/B3)*100</f>
        <v>152</v>
      </c>
      <c r="E3" s="55">
        <v>3</v>
      </c>
      <c r="F3" s="55">
        <v>31</v>
      </c>
      <c r="G3" s="56">
        <v>7.89</v>
      </c>
      <c r="H3" s="55">
        <v>12</v>
      </c>
    </row>
    <row r="4" spans="1:8" x14ac:dyDescent="0.2">
      <c r="A4" s="52" t="s">
        <v>58</v>
      </c>
      <c r="B4" s="55">
        <v>2</v>
      </c>
      <c r="C4" s="55">
        <v>1</v>
      </c>
      <c r="D4" s="54">
        <f>(C4/B4)*100</f>
        <v>50</v>
      </c>
      <c r="E4" s="55">
        <v>0</v>
      </c>
      <c r="F4" s="55">
        <v>1</v>
      </c>
      <c r="G4" s="59">
        <v>0</v>
      </c>
      <c r="H4" s="55">
        <v>0</v>
      </c>
    </row>
    <row r="5" spans="1:8" x14ac:dyDescent="0.2">
      <c r="A5" s="52" t="s">
        <v>71</v>
      </c>
      <c r="B5" s="55">
        <v>14</v>
      </c>
      <c r="C5" s="55">
        <v>12</v>
      </c>
      <c r="D5" s="54">
        <f>(C5/B5)*100</f>
        <v>85.714285714285708</v>
      </c>
      <c r="E5" s="55">
        <v>1</v>
      </c>
      <c r="F5" s="55">
        <v>9</v>
      </c>
      <c r="G5" s="56">
        <v>8.33</v>
      </c>
      <c r="H5" s="57">
        <v>7.14</v>
      </c>
    </row>
    <row r="6" spans="1:8" x14ac:dyDescent="0.2">
      <c r="A6" s="52" t="s">
        <v>72</v>
      </c>
      <c r="B6" s="55">
        <v>40</v>
      </c>
      <c r="C6" s="55">
        <v>39</v>
      </c>
      <c r="D6" s="54">
        <f>(C6/B6)*100</f>
        <v>97.5</v>
      </c>
      <c r="E6" s="55">
        <v>5</v>
      </c>
      <c r="F6" s="55">
        <v>29</v>
      </c>
      <c r="G6" s="56">
        <v>12.82</v>
      </c>
      <c r="H6" s="58">
        <v>12.5</v>
      </c>
    </row>
    <row r="7" spans="1:8" x14ac:dyDescent="0.2">
      <c r="A7" s="52" t="s">
        <v>98</v>
      </c>
      <c r="B7" s="55">
        <v>1</v>
      </c>
      <c r="C7" s="55">
        <v>2</v>
      </c>
      <c r="D7" s="54">
        <f>(C7/B7)*100</f>
        <v>200</v>
      </c>
      <c r="E7" s="55">
        <v>0</v>
      </c>
      <c r="F7" s="55">
        <v>2</v>
      </c>
      <c r="G7" s="59">
        <v>0</v>
      </c>
      <c r="H7" s="55">
        <v>0</v>
      </c>
    </row>
    <row r="8" spans="1:8" x14ac:dyDescent="0.2">
      <c r="A8" s="52" t="s">
        <v>93</v>
      </c>
      <c r="B8" s="55">
        <v>11</v>
      </c>
      <c r="C8" s="55">
        <v>29</v>
      </c>
      <c r="D8" s="54">
        <f>(C8/B8)*100</f>
        <v>263.63636363636363</v>
      </c>
      <c r="E8" s="55">
        <v>3</v>
      </c>
      <c r="F8" s="55">
        <v>23</v>
      </c>
      <c r="G8" s="56">
        <v>10.34</v>
      </c>
      <c r="H8" s="57">
        <v>27.27</v>
      </c>
    </row>
    <row r="9" spans="1:8" x14ac:dyDescent="0.2">
      <c r="A9" s="52" t="s">
        <v>99</v>
      </c>
      <c r="B9" s="55">
        <v>2</v>
      </c>
      <c r="C9" s="55">
        <v>1</v>
      </c>
      <c r="D9" s="54">
        <f>(C9/B9)*100</f>
        <v>50</v>
      </c>
      <c r="E9" s="55">
        <v>1</v>
      </c>
      <c r="F9" s="55">
        <v>0</v>
      </c>
      <c r="G9" s="59">
        <v>100</v>
      </c>
      <c r="H9" s="55">
        <v>50</v>
      </c>
    </row>
    <row r="10" spans="1:8" x14ac:dyDescent="0.2">
      <c r="A10" s="52" t="s">
        <v>73</v>
      </c>
      <c r="B10" s="55">
        <v>2</v>
      </c>
      <c r="C10" s="55">
        <v>3</v>
      </c>
      <c r="D10" s="54">
        <f>(C10/B10)*100</f>
        <v>150</v>
      </c>
      <c r="E10" s="55">
        <v>0</v>
      </c>
      <c r="F10" s="55">
        <v>2</v>
      </c>
      <c r="G10" s="59">
        <v>0</v>
      </c>
      <c r="H10" s="55">
        <v>0</v>
      </c>
    </row>
    <row r="11" spans="1:8" x14ac:dyDescent="0.2">
      <c r="A11" s="52" t="s">
        <v>74</v>
      </c>
      <c r="B11" s="55">
        <v>25</v>
      </c>
      <c r="C11" s="55">
        <v>19</v>
      </c>
      <c r="D11" s="54">
        <f>(C11/B11)*100</f>
        <v>76</v>
      </c>
      <c r="E11" s="55">
        <v>4</v>
      </c>
      <c r="F11" s="55">
        <v>11</v>
      </c>
      <c r="G11" s="56">
        <v>21.05</v>
      </c>
      <c r="H11" s="55">
        <v>16</v>
      </c>
    </row>
    <row r="12" spans="1:8" x14ac:dyDescent="0.2">
      <c r="A12" s="52" t="s">
        <v>75</v>
      </c>
      <c r="B12" s="55">
        <v>10</v>
      </c>
      <c r="C12" s="55">
        <v>16</v>
      </c>
      <c r="D12" s="54">
        <f>(C12/B12)*100</f>
        <v>160</v>
      </c>
      <c r="E12" s="55">
        <v>1</v>
      </c>
      <c r="F12" s="55">
        <v>14</v>
      </c>
      <c r="G12" s="56">
        <v>6.25</v>
      </c>
      <c r="H12" s="55">
        <v>10</v>
      </c>
    </row>
    <row r="13" spans="1:8" x14ac:dyDescent="0.2">
      <c r="A13" s="52" t="s">
        <v>76</v>
      </c>
      <c r="B13" s="55">
        <v>4</v>
      </c>
      <c r="C13" s="55">
        <v>3</v>
      </c>
      <c r="D13" s="54">
        <f>(C13/B13)*100</f>
        <v>75</v>
      </c>
      <c r="E13" s="55">
        <v>1</v>
      </c>
      <c r="F13" s="55">
        <v>2</v>
      </c>
      <c r="G13" s="56">
        <v>33.33</v>
      </c>
      <c r="H13" s="55">
        <v>25</v>
      </c>
    </row>
    <row r="14" spans="1:8" x14ac:dyDescent="0.2">
      <c r="A14" s="52" t="s">
        <v>103</v>
      </c>
      <c r="B14" s="55">
        <v>5</v>
      </c>
      <c r="C14" s="55">
        <v>7</v>
      </c>
      <c r="D14" s="54">
        <f>(C14/B14)*100</f>
        <v>140</v>
      </c>
      <c r="E14" s="55">
        <v>0</v>
      </c>
      <c r="F14" s="55">
        <v>6</v>
      </c>
      <c r="G14" s="59">
        <v>0</v>
      </c>
      <c r="H14" s="55">
        <v>0</v>
      </c>
    </row>
    <row r="15" spans="1:8" x14ac:dyDescent="0.2">
      <c r="A15" s="52" t="s">
        <v>94</v>
      </c>
      <c r="B15" s="55">
        <v>14</v>
      </c>
      <c r="C15" s="55">
        <v>31</v>
      </c>
      <c r="D15" s="54">
        <f>(C15/B15)*100</f>
        <v>221.42857142857144</v>
      </c>
      <c r="E15" s="55">
        <v>2</v>
      </c>
      <c r="F15" s="55">
        <v>24</v>
      </c>
      <c r="G15" s="56">
        <v>6.45</v>
      </c>
      <c r="H15" s="57">
        <v>14.29</v>
      </c>
    </row>
    <row r="16" spans="1:8" x14ac:dyDescent="0.2">
      <c r="A16" s="52" t="s">
        <v>77</v>
      </c>
      <c r="B16" s="55">
        <v>28</v>
      </c>
      <c r="C16" s="55">
        <v>42</v>
      </c>
      <c r="D16" s="54">
        <f>(C16/B16)*100</f>
        <v>150</v>
      </c>
      <c r="E16" s="55">
        <v>3</v>
      </c>
      <c r="F16" s="55">
        <v>34</v>
      </c>
      <c r="G16" s="56">
        <v>7.14</v>
      </c>
      <c r="H16" s="57">
        <v>10.71</v>
      </c>
    </row>
    <row r="17" spans="1:8" x14ac:dyDescent="0.2">
      <c r="A17" s="52" t="s">
        <v>78</v>
      </c>
      <c r="B17" s="55">
        <v>20</v>
      </c>
      <c r="C17" s="55">
        <v>25</v>
      </c>
      <c r="D17" s="54">
        <f>(C17/B17)*100</f>
        <v>125</v>
      </c>
      <c r="E17" s="55">
        <v>0</v>
      </c>
      <c r="F17" s="55">
        <v>18</v>
      </c>
      <c r="G17" s="59">
        <v>0</v>
      </c>
      <c r="H17" s="55">
        <v>0</v>
      </c>
    </row>
    <row r="18" spans="1:8" x14ac:dyDescent="0.2">
      <c r="A18" s="52" t="s">
        <v>104</v>
      </c>
      <c r="B18" s="55">
        <v>1</v>
      </c>
      <c r="C18" s="55">
        <v>0</v>
      </c>
      <c r="D18" s="54">
        <f>(C18/B18)*100</f>
        <v>0</v>
      </c>
      <c r="E18" s="55">
        <v>0</v>
      </c>
      <c r="F18" s="55">
        <v>0</v>
      </c>
      <c r="G18" s="59">
        <v>0</v>
      </c>
      <c r="H18" s="55">
        <v>0</v>
      </c>
    </row>
    <row r="19" spans="1:8" x14ac:dyDescent="0.2">
      <c r="A19" s="52" t="s">
        <v>101</v>
      </c>
      <c r="B19" s="55">
        <v>1</v>
      </c>
      <c r="C19" s="55">
        <v>0</v>
      </c>
      <c r="D19" s="54">
        <f>(C19/B19)*100</f>
        <v>0</v>
      </c>
      <c r="E19" s="55">
        <v>0</v>
      </c>
      <c r="F19" s="55">
        <v>0</v>
      </c>
      <c r="G19" s="59">
        <v>0</v>
      </c>
      <c r="H19" s="55">
        <v>0</v>
      </c>
    </row>
    <row r="20" spans="1:8" x14ac:dyDescent="0.2">
      <c r="A20" s="52" t="s">
        <v>79</v>
      </c>
      <c r="B20" s="55">
        <v>29</v>
      </c>
      <c r="C20" s="55">
        <v>26</v>
      </c>
      <c r="D20" s="54">
        <f>(C20/B20)*100</f>
        <v>89.65517241379311</v>
      </c>
      <c r="E20" s="55">
        <v>6</v>
      </c>
      <c r="F20" s="55">
        <v>19</v>
      </c>
      <c r="G20" s="56">
        <v>23.08</v>
      </c>
      <c r="H20" s="57">
        <v>20.69</v>
      </c>
    </row>
    <row r="21" spans="1:8" x14ac:dyDescent="0.2">
      <c r="A21" s="52" t="s">
        <v>80</v>
      </c>
      <c r="B21" s="55">
        <v>48</v>
      </c>
      <c r="C21" s="55">
        <v>111</v>
      </c>
      <c r="D21" s="54">
        <f>(C21/B21)*100</f>
        <v>231.25</v>
      </c>
      <c r="E21" s="55">
        <v>7</v>
      </c>
      <c r="F21" s="55">
        <v>94</v>
      </c>
      <c r="G21" s="56">
        <v>6.31</v>
      </c>
      <c r="H21" s="57">
        <v>14.58</v>
      </c>
    </row>
    <row r="22" spans="1:8" x14ac:dyDescent="0.2">
      <c r="A22" s="52" t="s">
        <v>81</v>
      </c>
      <c r="B22" s="55">
        <v>2</v>
      </c>
      <c r="C22" s="55">
        <v>0</v>
      </c>
      <c r="D22" s="54">
        <f>(C22/B22)*100</f>
        <v>0</v>
      </c>
      <c r="E22" s="55">
        <v>0</v>
      </c>
      <c r="F22" s="55">
        <v>0</v>
      </c>
      <c r="G22" s="59">
        <v>0</v>
      </c>
      <c r="H22" s="55">
        <v>0</v>
      </c>
    </row>
    <row r="23" spans="1:8" x14ac:dyDescent="0.2">
      <c r="A23" s="52" t="s">
        <v>82</v>
      </c>
      <c r="B23" s="55">
        <v>2</v>
      </c>
      <c r="C23" s="55">
        <v>2</v>
      </c>
      <c r="D23" s="54">
        <f>(C23/B23)*100</f>
        <v>100</v>
      </c>
      <c r="E23" s="55">
        <v>0</v>
      </c>
      <c r="F23" s="55">
        <v>0</v>
      </c>
      <c r="G23" s="59">
        <v>0</v>
      </c>
      <c r="H23" s="55">
        <v>0</v>
      </c>
    </row>
    <row r="24" spans="1:8" x14ac:dyDescent="0.2">
      <c r="A24" s="52" t="s">
        <v>83</v>
      </c>
      <c r="B24" s="55">
        <v>1</v>
      </c>
      <c r="C24" s="55">
        <v>1</v>
      </c>
      <c r="D24" s="54">
        <f>(C24/B24)*100</f>
        <v>100</v>
      </c>
      <c r="E24" s="55">
        <v>0</v>
      </c>
      <c r="F24" s="55">
        <v>1</v>
      </c>
      <c r="G24" s="59">
        <v>0</v>
      </c>
      <c r="H24" s="55">
        <v>0</v>
      </c>
    </row>
    <row r="25" spans="1:8" x14ac:dyDescent="0.2">
      <c r="A25" s="52" t="s">
        <v>84</v>
      </c>
      <c r="B25" s="55">
        <v>1</v>
      </c>
      <c r="C25" s="55">
        <v>0</v>
      </c>
      <c r="D25" s="54">
        <f>(C25/B25)*100</f>
        <v>0</v>
      </c>
      <c r="E25" s="55">
        <v>0</v>
      </c>
      <c r="F25" s="55">
        <v>0</v>
      </c>
      <c r="G25" s="59">
        <v>0</v>
      </c>
      <c r="H25" s="55">
        <v>0</v>
      </c>
    </row>
    <row r="26" spans="1:8" x14ac:dyDescent="0.2">
      <c r="A26" s="52" t="s">
        <v>100</v>
      </c>
      <c r="B26" s="55">
        <v>7</v>
      </c>
      <c r="C26" s="55">
        <v>23</v>
      </c>
      <c r="D26" s="54">
        <f>(C26/B26)*100</f>
        <v>328.57142857142856</v>
      </c>
      <c r="E26" s="55">
        <v>2</v>
      </c>
      <c r="F26" s="55">
        <v>21</v>
      </c>
      <c r="G26" s="60">
        <v>8.6999999999999993</v>
      </c>
      <c r="H26" s="57">
        <v>28.57</v>
      </c>
    </row>
    <row r="27" spans="1:8" x14ac:dyDescent="0.2">
      <c r="A27" s="52" t="s">
        <v>85</v>
      </c>
      <c r="B27" s="55">
        <v>21</v>
      </c>
      <c r="C27" s="55">
        <v>33</v>
      </c>
      <c r="D27" s="54">
        <f>(C27/B27)*100</f>
        <v>157.14285714285714</v>
      </c>
      <c r="E27" s="55">
        <v>4</v>
      </c>
      <c r="F27" s="55">
        <v>21</v>
      </c>
      <c r="G27" s="56">
        <v>12.12</v>
      </c>
      <c r="H27" s="57">
        <v>19.05</v>
      </c>
    </row>
    <row r="28" spans="1:8" x14ac:dyDescent="0.2">
      <c r="A28" s="52" t="s">
        <v>102</v>
      </c>
      <c r="B28" s="55">
        <v>1</v>
      </c>
      <c r="C28" s="55">
        <v>3</v>
      </c>
      <c r="D28" s="54">
        <f>(C28/B28)*100</f>
        <v>300</v>
      </c>
      <c r="E28" s="55">
        <v>0</v>
      </c>
      <c r="F28" s="55">
        <v>3</v>
      </c>
      <c r="G28" s="59">
        <v>0</v>
      </c>
      <c r="H28" s="55">
        <v>0</v>
      </c>
    </row>
    <row r="29" spans="1:8" x14ac:dyDescent="0.2">
      <c r="A29" s="52" t="s">
        <v>86</v>
      </c>
      <c r="B29" s="55">
        <v>13</v>
      </c>
      <c r="C29" s="55">
        <v>26</v>
      </c>
      <c r="D29" s="54">
        <f>(C29/B29)*100</f>
        <v>200</v>
      </c>
      <c r="E29" s="55">
        <v>1</v>
      </c>
      <c r="F29" s="55">
        <v>22</v>
      </c>
      <c r="G29" s="56">
        <v>3.85</v>
      </c>
      <c r="H29" s="57">
        <v>7.69</v>
      </c>
    </row>
    <row r="30" spans="1:8" x14ac:dyDescent="0.2">
      <c r="A30" s="52" t="s">
        <v>87</v>
      </c>
      <c r="B30" s="55">
        <v>25</v>
      </c>
      <c r="C30" s="55">
        <v>19</v>
      </c>
      <c r="D30" s="54">
        <f>(C30/B30)*100</f>
        <v>76</v>
      </c>
      <c r="E30" s="55">
        <v>3</v>
      </c>
      <c r="F30" s="55">
        <v>11</v>
      </c>
      <c r="G30" s="56">
        <v>15.79</v>
      </c>
      <c r="H30" s="55">
        <v>12</v>
      </c>
    </row>
    <row r="31" spans="1:8" x14ac:dyDescent="0.2">
      <c r="A31" s="52" t="s">
        <v>88</v>
      </c>
      <c r="B31" s="55">
        <v>1</v>
      </c>
      <c r="C31" s="55">
        <v>1</v>
      </c>
      <c r="D31" s="54">
        <f>(C31/B31)*100</f>
        <v>100</v>
      </c>
      <c r="E31" s="55">
        <v>0</v>
      </c>
      <c r="F31" s="55">
        <v>1</v>
      </c>
      <c r="G31" s="59">
        <v>0</v>
      </c>
      <c r="H31" s="55">
        <v>0</v>
      </c>
    </row>
    <row r="32" spans="1:8" x14ac:dyDescent="0.2">
      <c r="A32" s="52" t="s">
        <v>89</v>
      </c>
      <c r="B32" s="55">
        <v>39</v>
      </c>
      <c r="C32" s="55">
        <v>77</v>
      </c>
      <c r="D32" s="54">
        <f>(C32/B32)*100</f>
        <v>197.43589743589746</v>
      </c>
      <c r="E32" s="55">
        <v>5</v>
      </c>
      <c r="F32" s="55">
        <v>70</v>
      </c>
      <c r="G32" s="56">
        <v>6.49</v>
      </c>
      <c r="H32" s="57">
        <v>12.82</v>
      </c>
    </row>
    <row r="33" spans="1:8" x14ac:dyDescent="0.2">
      <c r="A33" s="52" t="s">
        <v>96</v>
      </c>
      <c r="B33" s="55">
        <v>17</v>
      </c>
      <c r="C33" s="55">
        <v>50</v>
      </c>
      <c r="D33" s="54">
        <f>(C33/B33)*100</f>
        <v>294.11764705882354</v>
      </c>
      <c r="E33" s="55">
        <v>2</v>
      </c>
      <c r="F33" s="55">
        <v>44</v>
      </c>
      <c r="G33" s="59">
        <v>4</v>
      </c>
      <c r="H33" s="57">
        <v>11.76</v>
      </c>
    </row>
    <row r="34" spans="1:8" x14ac:dyDescent="0.2">
      <c r="A34" s="52" t="s">
        <v>90</v>
      </c>
      <c r="B34" s="55">
        <v>2</v>
      </c>
      <c r="C34" s="55">
        <v>2</v>
      </c>
      <c r="D34" s="54">
        <f>(C34/B34)*100</f>
        <v>100</v>
      </c>
      <c r="E34" s="55">
        <v>1</v>
      </c>
      <c r="F34" s="55">
        <v>1</v>
      </c>
      <c r="G34" s="59">
        <v>50</v>
      </c>
      <c r="H34" s="55">
        <v>50</v>
      </c>
    </row>
    <row r="35" spans="1:8" x14ac:dyDescent="0.2">
      <c r="A35" s="52" t="s">
        <v>91</v>
      </c>
      <c r="B35" s="55">
        <v>80</v>
      </c>
      <c r="C35" s="55">
        <v>80</v>
      </c>
      <c r="D35" s="54">
        <f>(C35/B35)*100</f>
        <v>100</v>
      </c>
      <c r="E35" s="55">
        <v>7</v>
      </c>
      <c r="F35" s="55">
        <v>57</v>
      </c>
      <c r="G35" s="56">
        <v>8.75</v>
      </c>
      <c r="H35" s="57">
        <v>8.75</v>
      </c>
    </row>
    <row r="36" spans="1:8" x14ac:dyDescent="0.2">
      <c r="A36" s="52" t="s">
        <v>95</v>
      </c>
      <c r="B36" s="55">
        <v>5</v>
      </c>
      <c r="C36" s="55">
        <v>4</v>
      </c>
      <c r="D36" s="54">
        <f>(C36/B36)*100</f>
        <v>80</v>
      </c>
      <c r="E36" s="55">
        <v>1</v>
      </c>
      <c r="F36" s="55">
        <v>3</v>
      </c>
      <c r="G36" s="59">
        <v>25</v>
      </c>
      <c r="H36" s="55">
        <v>20</v>
      </c>
    </row>
    <row r="37" spans="1:8" x14ac:dyDescent="0.2">
      <c r="A37" s="52" t="s">
        <v>92</v>
      </c>
      <c r="B37" s="55">
        <v>42</v>
      </c>
      <c r="C37" s="55">
        <v>72</v>
      </c>
      <c r="D37" s="54">
        <f>(C37/B37)*100</f>
        <v>171.42857142857142</v>
      </c>
      <c r="E37" s="55">
        <v>11</v>
      </c>
      <c r="F37" s="55">
        <v>53</v>
      </c>
      <c r="G37" s="56">
        <v>15.28</v>
      </c>
      <c r="H37" s="57">
        <v>26.19</v>
      </c>
    </row>
    <row r="38" spans="1:8" ht="15" x14ac:dyDescent="0.2">
      <c r="A38" s="62" t="s">
        <v>105</v>
      </c>
      <c r="B38" s="64">
        <v>542</v>
      </c>
      <c r="C38" s="64">
        <v>800</v>
      </c>
      <c r="D38" s="54">
        <f>(C38/B38)*100</f>
        <v>147.60147601476015</v>
      </c>
      <c r="E38" s="64">
        <v>74</v>
      </c>
      <c r="F38" s="64">
        <v>629</v>
      </c>
      <c r="G38" s="66">
        <v>9.25</v>
      </c>
      <c r="H38" s="67">
        <v>13.65</v>
      </c>
    </row>
  </sheetData>
  <autoFilter ref="A1:H1" xr:uid="{854BE2BC-B75E-44AC-9C69-B81C0AB2F146}">
    <sortState xmlns:xlrd2="http://schemas.microsoft.com/office/spreadsheetml/2017/richdata2" ref="A2:H38">
      <sortCondition ref="A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456B-AF1C-40A5-B69C-BFAC6CAFED9A}">
  <dimension ref="A1:G37"/>
  <sheetViews>
    <sheetView workbookViewId="0">
      <selection activeCell="E21" sqref="E21"/>
    </sheetView>
  </sheetViews>
  <sheetFormatPr defaultRowHeight="12.75" x14ac:dyDescent="0.2"/>
  <cols>
    <col min="1" max="1" width="62" customWidth="1"/>
    <col min="2" max="2" width="36.6640625" customWidth="1"/>
    <col min="3" max="3" width="20.1640625" customWidth="1"/>
    <col min="4" max="4" width="16.83203125" customWidth="1"/>
    <col min="5" max="5" width="23.5" customWidth="1"/>
    <col min="6" max="6" width="18.33203125" customWidth="1"/>
    <col min="7" max="7" width="15.6640625" customWidth="1"/>
  </cols>
  <sheetData>
    <row r="1" spans="1:7" ht="25.5" x14ac:dyDescent="0.2">
      <c r="A1" s="68" t="s">
        <v>60</v>
      </c>
      <c r="B1" s="68" t="s">
        <v>107</v>
      </c>
      <c r="C1" s="68" t="s">
        <v>61</v>
      </c>
      <c r="D1" s="68" t="s">
        <v>69</v>
      </c>
      <c r="E1" s="68" t="s">
        <v>106</v>
      </c>
      <c r="F1" s="68" t="s">
        <v>63</v>
      </c>
      <c r="G1" s="68" t="s">
        <v>64</v>
      </c>
    </row>
    <row r="2" spans="1:7" x14ac:dyDescent="0.2">
      <c r="A2" s="70" t="s">
        <v>87</v>
      </c>
      <c r="B2" s="71">
        <v>342239</v>
      </c>
      <c r="C2" s="70">
        <v>25</v>
      </c>
      <c r="D2" s="70">
        <v>19</v>
      </c>
      <c r="E2" s="70">
        <v>76</v>
      </c>
      <c r="F2" s="70">
        <v>3</v>
      </c>
      <c r="G2" s="70">
        <v>11</v>
      </c>
    </row>
    <row r="3" spans="1:7" x14ac:dyDescent="0.2">
      <c r="A3" s="70" t="s">
        <v>79</v>
      </c>
      <c r="B3" s="71">
        <v>308252</v>
      </c>
      <c r="C3" s="70">
        <v>29</v>
      </c>
      <c r="D3" s="70">
        <v>26</v>
      </c>
      <c r="E3" s="70">
        <v>90</v>
      </c>
      <c r="F3" s="70">
        <v>6</v>
      </c>
      <c r="G3" s="70">
        <v>19</v>
      </c>
    </row>
    <row r="4" spans="1:7" x14ac:dyDescent="0.2">
      <c r="A4" s="70" t="s">
        <v>80</v>
      </c>
      <c r="B4" s="71">
        <v>307713</v>
      </c>
      <c r="C4" s="70">
        <v>48</v>
      </c>
      <c r="D4" s="70">
        <v>111</v>
      </c>
      <c r="E4" s="70">
        <v>231</v>
      </c>
      <c r="F4" s="70">
        <v>7</v>
      </c>
      <c r="G4" s="70">
        <v>94</v>
      </c>
    </row>
    <row r="5" spans="1:7" x14ac:dyDescent="0.2">
      <c r="A5" s="70" t="s">
        <v>91</v>
      </c>
      <c r="B5" s="71">
        <v>240928</v>
      </c>
      <c r="C5" s="70">
        <v>80</v>
      </c>
      <c r="D5" s="70">
        <v>80</v>
      </c>
      <c r="E5" s="70">
        <v>100</v>
      </c>
      <c r="F5" s="70">
        <v>7</v>
      </c>
      <c r="G5" s="70">
        <v>57</v>
      </c>
    </row>
    <row r="6" spans="1:7" x14ac:dyDescent="0.2">
      <c r="A6" s="70" t="s">
        <v>74</v>
      </c>
      <c r="B6" s="71">
        <v>196024</v>
      </c>
      <c r="C6" s="70">
        <v>25</v>
      </c>
      <c r="D6" s="70">
        <v>19</v>
      </c>
      <c r="E6" s="70">
        <v>76</v>
      </c>
      <c r="F6" s="70">
        <v>4</v>
      </c>
      <c r="G6" s="70">
        <v>11</v>
      </c>
    </row>
    <row r="7" spans="1:7" x14ac:dyDescent="0.2">
      <c r="A7" s="70" t="s">
        <v>77</v>
      </c>
      <c r="B7" s="71">
        <v>191791</v>
      </c>
      <c r="C7" s="70">
        <v>28</v>
      </c>
      <c r="D7" s="70">
        <v>42</v>
      </c>
      <c r="E7" s="70">
        <v>150</v>
      </c>
      <c r="F7" s="70">
        <v>3</v>
      </c>
      <c r="G7" s="70">
        <v>34</v>
      </c>
    </row>
    <row r="8" spans="1:7" x14ac:dyDescent="0.2">
      <c r="A8" s="70" t="s">
        <v>70</v>
      </c>
      <c r="B8" s="71">
        <v>162975</v>
      </c>
      <c r="C8" s="70">
        <v>25</v>
      </c>
      <c r="D8" s="70">
        <v>38</v>
      </c>
      <c r="E8" s="70">
        <v>152</v>
      </c>
      <c r="F8" s="70">
        <v>3</v>
      </c>
      <c r="G8" s="70">
        <v>31</v>
      </c>
    </row>
    <row r="9" spans="1:7" x14ac:dyDescent="0.2">
      <c r="A9" s="70" t="s">
        <v>85</v>
      </c>
      <c r="B9" s="71">
        <v>155707</v>
      </c>
      <c r="C9" s="70">
        <v>21</v>
      </c>
      <c r="D9" s="70">
        <v>33</v>
      </c>
      <c r="E9" s="70">
        <v>157</v>
      </c>
      <c r="F9" s="70">
        <v>4</v>
      </c>
      <c r="G9" s="70">
        <v>21</v>
      </c>
    </row>
    <row r="10" spans="1:7" x14ac:dyDescent="0.2">
      <c r="A10" s="70" t="s">
        <v>93</v>
      </c>
      <c r="B10" s="71">
        <v>135192</v>
      </c>
      <c r="C10" s="70">
        <v>11</v>
      </c>
      <c r="D10" s="70">
        <v>29</v>
      </c>
      <c r="E10" s="70">
        <v>264</v>
      </c>
      <c r="F10" s="70">
        <v>3</v>
      </c>
      <c r="G10" s="70">
        <v>23</v>
      </c>
    </row>
    <row r="11" spans="1:7" x14ac:dyDescent="0.2">
      <c r="A11" s="70" t="s">
        <v>89</v>
      </c>
      <c r="B11" s="71">
        <v>130058</v>
      </c>
      <c r="C11" s="70">
        <v>39</v>
      </c>
      <c r="D11" s="70">
        <v>77</v>
      </c>
      <c r="E11" s="70">
        <v>197</v>
      </c>
      <c r="F11" s="70">
        <v>5</v>
      </c>
      <c r="G11" s="70">
        <v>70</v>
      </c>
    </row>
    <row r="12" spans="1:7" x14ac:dyDescent="0.2">
      <c r="A12" s="70" t="s">
        <v>96</v>
      </c>
      <c r="B12" s="71">
        <v>112077</v>
      </c>
      <c r="C12" s="70">
        <v>17</v>
      </c>
      <c r="D12" s="70">
        <v>50</v>
      </c>
      <c r="E12" s="70">
        <v>294</v>
      </c>
      <c r="F12" s="70">
        <v>2</v>
      </c>
      <c r="G12" s="70">
        <v>44</v>
      </c>
    </row>
    <row r="13" spans="1:7" x14ac:dyDescent="0.2">
      <c r="A13" s="70" t="s">
        <v>72</v>
      </c>
      <c r="B13" s="71">
        <v>94163</v>
      </c>
      <c r="C13" s="70">
        <v>40</v>
      </c>
      <c r="D13" s="70">
        <v>39</v>
      </c>
      <c r="E13" s="70">
        <v>98</v>
      </c>
      <c r="F13" s="70">
        <v>5</v>
      </c>
      <c r="G13" s="70">
        <v>29</v>
      </c>
    </row>
    <row r="14" spans="1:7" x14ac:dyDescent="0.2">
      <c r="A14" s="70" t="s">
        <v>92</v>
      </c>
      <c r="B14" s="71">
        <v>88752</v>
      </c>
      <c r="C14" s="70">
        <v>42</v>
      </c>
      <c r="D14" s="70">
        <v>72</v>
      </c>
      <c r="E14" s="70">
        <v>171</v>
      </c>
      <c r="F14" s="70">
        <v>11</v>
      </c>
      <c r="G14" s="70">
        <v>53</v>
      </c>
    </row>
    <row r="15" spans="1:7" x14ac:dyDescent="0.2">
      <c r="A15" s="70" t="s">
        <v>58</v>
      </c>
      <c r="B15" s="71">
        <v>83743</v>
      </c>
      <c r="C15" s="70">
        <v>2</v>
      </c>
      <c r="D15" s="70">
        <v>1</v>
      </c>
      <c r="E15" s="70">
        <v>50</v>
      </c>
      <c r="F15" s="70">
        <v>0</v>
      </c>
      <c r="G15" s="70">
        <v>1</v>
      </c>
    </row>
    <row r="16" spans="1:7" x14ac:dyDescent="0.2">
      <c r="A16" s="70" t="s">
        <v>94</v>
      </c>
      <c r="B16" s="71">
        <v>79716</v>
      </c>
      <c r="C16" s="70">
        <v>14</v>
      </c>
      <c r="D16" s="70">
        <v>31</v>
      </c>
      <c r="E16" s="70">
        <v>221</v>
      </c>
      <c r="F16" s="70">
        <v>2</v>
      </c>
      <c r="G16" s="70">
        <v>24</v>
      </c>
    </row>
    <row r="17" spans="1:7" x14ac:dyDescent="0.2">
      <c r="A17" s="70" t="s">
        <v>71</v>
      </c>
      <c r="B17" s="71">
        <v>78438</v>
      </c>
      <c r="C17" s="70">
        <v>14</v>
      </c>
      <c r="D17" s="70">
        <v>12</v>
      </c>
      <c r="E17" s="70">
        <v>86</v>
      </c>
      <c r="F17" s="70">
        <v>1</v>
      </c>
      <c r="G17" s="70">
        <v>9</v>
      </c>
    </row>
    <row r="18" spans="1:7" x14ac:dyDescent="0.2">
      <c r="A18" s="70" t="s">
        <v>104</v>
      </c>
      <c r="B18" s="71">
        <v>59146</v>
      </c>
      <c r="C18" s="70">
        <v>1</v>
      </c>
      <c r="D18" s="70">
        <v>0</v>
      </c>
      <c r="E18" s="70">
        <v>0</v>
      </c>
      <c r="F18" s="70">
        <v>0</v>
      </c>
      <c r="G18" s="70">
        <v>0</v>
      </c>
    </row>
    <row r="19" spans="1:7" x14ac:dyDescent="0.2">
      <c r="A19" s="70" t="s">
        <v>76</v>
      </c>
      <c r="B19" s="71">
        <v>55673</v>
      </c>
      <c r="C19" s="70">
        <v>4</v>
      </c>
      <c r="D19" s="70">
        <v>3</v>
      </c>
      <c r="E19" s="70">
        <v>75</v>
      </c>
      <c r="F19" s="70">
        <v>1</v>
      </c>
      <c r="G19" s="70">
        <v>2</v>
      </c>
    </row>
    <row r="20" spans="1:7" x14ac:dyDescent="0.2">
      <c r="A20" s="70" t="s">
        <v>103</v>
      </c>
      <c r="B20" s="71">
        <v>55538</v>
      </c>
      <c r="C20" s="70">
        <v>5</v>
      </c>
      <c r="D20" s="70">
        <v>7</v>
      </c>
      <c r="E20" s="70">
        <v>140</v>
      </c>
      <c r="F20" s="70">
        <v>0</v>
      </c>
      <c r="G20" s="70">
        <v>6</v>
      </c>
    </row>
    <row r="21" spans="1:7" x14ac:dyDescent="0.2">
      <c r="A21" s="70" t="s">
        <v>95</v>
      </c>
      <c r="B21" s="71">
        <v>53483</v>
      </c>
      <c r="C21" s="70">
        <v>5</v>
      </c>
      <c r="D21" s="70">
        <v>4</v>
      </c>
      <c r="E21" s="70">
        <v>80</v>
      </c>
      <c r="F21" s="70">
        <v>1</v>
      </c>
      <c r="G21" s="70">
        <v>3</v>
      </c>
    </row>
    <row r="22" spans="1:7" x14ac:dyDescent="0.2">
      <c r="A22" s="70" t="s">
        <v>86</v>
      </c>
      <c r="B22" s="71">
        <v>50362</v>
      </c>
      <c r="C22" s="70">
        <v>13</v>
      </c>
      <c r="D22" s="70">
        <v>26</v>
      </c>
      <c r="E22" s="70">
        <v>200</v>
      </c>
      <c r="F22" s="70">
        <v>1</v>
      </c>
      <c r="G22" s="70">
        <v>22</v>
      </c>
    </row>
    <row r="23" spans="1:7" x14ac:dyDescent="0.2">
      <c r="A23" s="70" t="s">
        <v>75</v>
      </c>
      <c r="B23" s="71">
        <v>44212</v>
      </c>
      <c r="C23" s="70">
        <v>10</v>
      </c>
      <c r="D23" s="70">
        <v>16</v>
      </c>
      <c r="E23" s="70">
        <v>160</v>
      </c>
      <c r="F23" s="70">
        <v>1</v>
      </c>
      <c r="G23" s="70">
        <v>14</v>
      </c>
    </row>
    <row r="24" spans="1:7" x14ac:dyDescent="0.2">
      <c r="A24" s="70" t="s">
        <v>78</v>
      </c>
      <c r="B24" s="71">
        <v>38863</v>
      </c>
      <c r="C24" s="70">
        <v>20</v>
      </c>
      <c r="D24" s="70">
        <v>25</v>
      </c>
      <c r="E24" s="70">
        <v>125</v>
      </c>
      <c r="F24" s="70">
        <v>0</v>
      </c>
      <c r="G24" s="70">
        <v>18</v>
      </c>
    </row>
    <row r="25" spans="1:7" x14ac:dyDescent="0.2">
      <c r="A25" s="70" t="s">
        <v>82</v>
      </c>
      <c r="B25" s="71">
        <v>22429</v>
      </c>
      <c r="C25" s="70">
        <v>2</v>
      </c>
      <c r="D25" s="70">
        <v>2</v>
      </c>
      <c r="E25" s="70">
        <v>100</v>
      </c>
      <c r="F25" s="70">
        <v>0</v>
      </c>
      <c r="G25" s="70">
        <v>0</v>
      </c>
    </row>
    <row r="26" spans="1:7" x14ac:dyDescent="0.2">
      <c r="A26" s="70" t="s">
        <v>81</v>
      </c>
      <c r="B26" s="71">
        <v>22327</v>
      </c>
      <c r="C26" s="70">
        <v>2</v>
      </c>
      <c r="D26" s="70">
        <v>0</v>
      </c>
      <c r="E26" s="70">
        <v>0</v>
      </c>
      <c r="F26" s="70">
        <v>0</v>
      </c>
      <c r="G26" s="70">
        <v>0</v>
      </c>
    </row>
    <row r="27" spans="1:7" x14ac:dyDescent="0.2">
      <c r="A27" s="70" t="s">
        <v>83</v>
      </c>
      <c r="B27" s="71">
        <v>21081</v>
      </c>
      <c r="C27" s="70">
        <v>1</v>
      </c>
      <c r="D27" s="70">
        <v>1</v>
      </c>
      <c r="E27" s="70">
        <v>100</v>
      </c>
      <c r="F27" s="70">
        <v>0</v>
      </c>
      <c r="G27" s="70">
        <v>1</v>
      </c>
    </row>
    <row r="28" spans="1:7" x14ac:dyDescent="0.2">
      <c r="A28" s="70" t="s">
        <v>84</v>
      </c>
      <c r="B28" s="71">
        <v>16579</v>
      </c>
      <c r="C28" s="70">
        <v>1</v>
      </c>
      <c r="D28" s="70">
        <v>0</v>
      </c>
      <c r="E28" s="70">
        <v>0</v>
      </c>
      <c r="F28" s="70">
        <v>0</v>
      </c>
      <c r="G28" s="70">
        <v>0</v>
      </c>
    </row>
    <row r="29" spans="1:7" x14ac:dyDescent="0.2">
      <c r="A29" s="70" t="s">
        <v>90</v>
      </c>
      <c r="B29" s="71">
        <v>10491</v>
      </c>
      <c r="C29" s="70">
        <v>2</v>
      </c>
      <c r="D29" s="70">
        <v>2</v>
      </c>
      <c r="E29" s="70">
        <v>100</v>
      </c>
      <c r="F29" s="70">
        <v>1</v>
      </c>
      <c r="G29" s="70">
        <v>1</v>
      </c>
    </row>
    <row r="30" spans="1:7" x14ac:dyDescent="0.2">
      <c r="A30" s="70" t="s">
        <v>97</v>
      </c>
      <c r="B30" s="71">
        <v>8249</v>
      </c>
      <c r="C30" s="70">
        <v>1</v>
      </c>
      <c r="D30" s="70">
        <v>2</v>
      </c>
      <c r="E30" s="70">
        <v>200</v>
      </c>
      <c r="F30" s="70">
        <v>0</v>
      </c>
      <c r="G30" s="70">
        <v>2</v>
      </c>
    </row>
    <row r="31" spans="1:7" x14ac:dyDescent="0.2">
      <c r="A31" s="70" t="s">
        <v>88</v>
      </c>
      <c r="B31" s="71">
        <v>7096</v>
      </c>
      <c r="C31" s="70">
        <v>1</v>
      </c>
      <c r="D31" s="70">
        <v>1</v>
      </c>
      <c r="E31" s="70">
        <v>100</v>
      </c>
      <c r="F31" s="70">
        <v>0</v>
      </c>
      <c r="G31" s="70">
        <v>1</v>
      </c>
    </row>
    <row r="32" spans="1:7" x14ac:dyDescent="0.2">
      <c r="A32" s="70" t="s">
        <v>73</v>
      </c>
      <c r="B32" s="71">
        <v>3702</v>
      </c>
      <c r="C32" s="70">
        <v>2</v>
      </c>
      <c r="D32" s="70">
        <v>3</v>
      </c>
      <c r="E32" s="70">
        <v>150</v>
      </c>
      <c r="F32" s="70">
        <v>0</v>
      </c>
      <c r="G32" s="70">
        <v>2</v>
      </c>
    </row>
    <row r="33" spans="1:7" x14ac:dyDescent="0.2">
      <c r="A33" s="70" t="s">
        <v>108</v>
      </c>
      <c r="B33" s="71">
        <v>1484</v>
      </c>
      <c r="C33" s="70">
        <v>7</v>
      </c>
      <c r="D33" s="70">
        <v>23</v>
      </c>
      <c r="E33" s="70">
        <v>329</v>
      </c>
      <c r="F33" s="70">
        <v>2</v>
      </c>
      <c r="G33" s="70">
        <v>21</v>
      </c>
    </row>
    <row r="34" spans="1:7" x14ac:dyDescent="0.2">
      <c r="A34" s="70" t="s">
        <v>99</v>
      </c>
      <c r="B34" s="70">
        <v>603</v>
      </c>
      <c r="C34" s="70">
        <v>2</v>
      </c>
      <c r="D34" s="70">
        <v>1</v>
      </c>
      <c r="E34" s="70">
        <v>50</v>
      </c>
      <c r="F34" s="70">
        <v>1</v>
      </c>
      <c r="G34" s="70">
        <v>0</v>
      </c>
    </row>
    <row r="35" spans="1:7" x14ac:dyDescent="0.2">
      <c r="A35" s="70" t="s">
        <v>102</v>
      </c>
      <c r="B35" s="70">
        <v>479</v>
      </c>
      <c r="C35" s="70">
        <v>1</v>
      </c>
      <c r="D35" s="70">
        <v>3</v>
      </c>
      <c r="E35" s="70">
        <v>300</v>
      </c>
      <c r="F35" s="70">
        <v>0</v>
      </c>
      <c r="G35" s="70">
        <v>3</v>
      </c>
    </row>
    <row r="36" spans="1:7" x14ac:dyDescent="0.2">
      <c r="A36" s="70" t="s">
        <v>98</v>
      </c>
      <c r="B36" s="70">
        <v>114</v>
      </c>
      <c r="C36" s="70">
        <v>1</v>
      </c>
      <c r="D36" s="70">
        <v>2</v>
      </c>
      <c r="E36" s="70">
        <v>200</v>
      </c>
      <c r="F36" s="70">
        <v>0</v>
      </c>
      <c r="G36" s="70">
        <v>2</v>
      </c>
    </row>
    <row r="37" spans="1:7" x14ac:dyDescent="0.2">
      <c r="A37" s="70" t="s">
        <v>101</v>
      </c>
      <c r="B37" s="70">
        <v>32</v>
      </c>
      <c r="C37" s="70">
        <v>1</v>
      </c>
      <c r="D37" s="70">
        <v>0</v>
      </c>
      <c r="E37" s="70">
        <v>0</v>
      </c>
      <c r="F37" s="70">
        <v>0</v>
      </c>
      <c r="G37" s="70">
        <v>0</v>
      </c>
    </row>
  </sheetData>
  <autoFilter ref="A1:G1" xr:uid="{82B5456B-AF1C-40A5-B69C-BFAC6CAFED9A}">
    <sortState xmlns:xlrd2="http://schemas.microsoft.com/office/spreadsheetml/2017/richdata2" ref="A2:G37">
      <sortCondition descending="1" ref="B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F943B-4BBB-44F6-8CF6-A4206C43DC83}">
  <dimension ref="A1:J37"/>
  <sheetViews>
    <sheetView tabSelected="1" workbookViewId="0">
      <selection activeCell="H3" sqref="H3"/>
    </sheetView>
  </sheetViews>
  <sheetFormatPr defaultRowHeight="12.75" x14ac:dyDescent="0.2"/>
  <cols>
    <col min="1" max="1" width="32.33203125" customWidth="1"/>
    <col min="10" max="10" width="26.1640625" customWidth="1"/>
  </cols>
  <sheetData>
    <row r="1" spans="1:10" ht="63.75" x14ac:dyDescent="0.2">
      <c r="A1" s="68" t="s">
        <v>60</v>
      </c>
      <c r="B1" s="68" t="s">
        <v>107</v>
      </c>
      <c r="C1" s="68" t="s">
        <v>61</v>
      </c>
      <c r="D1" s="68" t="s">
        <v>69</v>
      </c>
      <c r="E1" s="68" t="s">
        <v>106</v>
      </c>
      <c r="F1" s="68" t="s">
        <v>63</v>
      </c>
      <c r="G1" s="68" t="s">
        <v>64</v>
      </c>
      <c r="H1" s="68" t="s">
        <v>109</v>
      </c>
      <c r="I1" s="68" t="s">
        <v>110</v>
      </c>
      <c r="J1" s="68" t="s">
        <v>111</v>
      </c>
    </row>
    <row r="2" spans="1:10" ht="51" x14ac:dyDescent="0.2">
      <c r="A2" s="69" t="s">
        <v>97</v>
      </c>
      <c r="B2" s="69">
        <v>8249</v>
      </c>
      <c r="C2" s="69">
        <v>1</v>
      </c>
      <c r="D2" s="69">
        <v>2</v>
      </c>
      <c r="E2" s="69">
        <v>200</v>
      </c>
      <c r="F2" s="69">
        <v>0</v>
      </c>
      <c r="G2" s="69">
        <v>2</v>
      </c>
      <c r="H2" s="69">
        <v>0</v>
      </c>
      <c r="I2" s="69">
        <v>0</v>
      </c>
      <c r="J2" s="69" t="s">
        <v>112</v>
      </c>
    </row>
    <row r="3" spans="1:10" ht="102" x14ac:dyDescent="0.2">
      <c r="A3" s="69" t="s">
        <v>70</v>
      </c>
      <c r="B3" s="69">
        <v>162975</v>
      </c>
      <c r="C3" s="69">
        <v>25</v>
      </c>
      <c r="D3" s="69">
        <v>38</v>
      </c>
      <c r="E3" s="69">
        <v>152</v>
      </c>
      <c r="F3" s="69">
        <v>3</v>
      </c>
      <c r="G3" s="69">
        <v>31</v>
      </c>
      <c r="H3" s="69">
        <v>7.89</v>
      </c>
      <c r="I3" s="69">
        <v>12</v>
      </c>
      <c r="J3" s="69" t="s">
        <v>113</v>
      </c>
    </row>
    <row r="4" spans="1:10" ht="38.25" x14ac:dyDescent="0.2">
      <c r="A4" s="69" t="s">
        <v>58</v>
      </c>
      <c r="B4" s="69">
        <v>83743</v>
      </c>
      <c r="C4" s="69">
        <v>2</v>
      </c>
      <c r="D4" s="69">
        <v>1</v>
      </c>
      <c r="E4" s="69">
        <v>50</v>
      </c>
      <c r="F4" s="69">
        <v>0</v>
      </c>
      <c r="G4" s="69">
        <v>1</v>
      </c>
      <c r="H4" s="69">
        <v>0</v>
      </c>
      <c r="I4" s="69">
        <v>0</v>
      </c>
      <c r="J4" s="69" t="s">
        <v>114</v>
      </c>
    </row>
    <row r="5" spans="1:10" ht="153" x14ac:dyDescent="0.2">
      <c r="A5" s="69" t="s">
        <v>71</v>
      </c>
      <c r="B5" s="69">
        <v>78438</v>
      </c>
      <c r="C5" s="69">
        <v>14</v>
      </c>
      <c r="D5" s="69">
        <v>12</v>
      </c>
      <c r="E5" s="69">
        <v>86</v>
      </c>
      <c r="F5" s="69">
        <v>1</v>
      </c>
      <c r="G5" s="69">
        <v>9</v>
      </c>
      <c r="H5" s="69">
        <v>8.33</v>
      </c>
      <c r="I5" s="69">
        <v>7.14</v>
      </c>
      <c r="J5" s="69" t="s">
        <v>115</v>
      </c>
    </row>
    <row r="6" spans="1:10" ht="63.75" x14ac:dyDescent="0.2">
      <c r="A6" s="69" t="s">
        <v>72</v>
      </c>
      <c r="B6" s="69">
        <v>94163</v>
      </c>
      <c r="C6" s="69">
        <v>40</v>
      </c>
      <c r="D6" s="69">
        <v>39</v>
      </c>
      <c r="E6" s="69">
        <v>98</v>
      </c>
      <c r="F6" s="69">
        <v>5</v>
      </c>
      <c r="G6" s="69">
        <v>29</v>
      </c>
      <c r="H6" s="69">
        <v>12.82</v>
      </c>
      <c r="I6" s="69">
        <v>12.5</v>
      </c>
      <c r="J6" s="69" t="s">
        <v>116</v>
      </c>
    </row>
    <row r="7" spans="1:10" ht="25.5" x14ac:dyDescent="0.2">
      <c r="A7" s="69" t="s">
        <v>98</v>
      </c>
      <c r="B7" s="69">
        <v>114</v>
      </c>
      <c r="C7" s="69">
        <v>1</v>
      </c>
      <c r="D7" s="69">
        <v>2</v>
      </c>
      <c r="E7" s="69">
        <v>200</v>
      </c>
      <c r="F7" s="69">
        <v>0</v>
      </c>
      <c r="G7" s="69">
        <v>2</v>
      </c>
      <c r="H7" s="69">
        <v>0</v>
      </c>
      <c r="I7" s="69">
        <v>0</v>
      </c>
      <c r="J7" s="69" t="s">
        <v>117</v>
      </c>
    </row>
    <row r="8" spans="1:10" ht="127.5" x14ac:dyDescent="0.2">
      <c r="A8" s="69" t="s">
        <v>93</v>
      </c>
      <c r="B8" s="69">
        <v>135192</v>
      </c>
      <c r="C8" s="69">
        <v>11</v>
      </c>
      <c r="D8" s="69">
        <v>29</v>
      </c>
      <c r="E8" s="69">
        <v>264</v>
      </c>
      <c r="F8" s="69">
        <v>3</v>
      </c>
      <c r="G8" s="69">
        <v>23</v>
      </c>
      <c r="H8" s="69">
        <v>10.34</v>
      </c>
      <c r="I8" s="69">
        <v>27.27</v>
      </c>
      <c r="J8" s="69" t="s">
        <v>118</v>
      </c>
    </row>
    <row r="9" spans="1:10" ht="76.5" x14ac:dyDescent="0.2">
      <c r="A9" s="69" t="s">
        <v>99</v>
      </c>
      <c r="B9" s="69">
        <v>603</v>
      </c>
      <c r="C9" s="69">
        <v>2</v>
      </c>
      <c r="D9" s="69">
        <v>1</v>
      </c>
      <c r="E9" s="69">
        <v>50</v>
      </c>
      <c r="F9" s="69">
        <v>1</v>
      </c>
      <c r="G9" s="69">
        <v>0</v>
      </c>
      <c r="H9" s="69">
        <v>100</v>
      </c>
      <c r="I9" s="69">
        <v>50</v>
      </c>
      <c r="J9" s="69" t="s">
        <v>119</v>
      </c>
    </row>
    <row r="10" spans="1:10" ht="51" x14ac:dyDescent="0.2">
      <c r="A10" s="69" t="s">
        <v>73</v>
      </c>
      <c r="B10" s="69">
        <v>3702</v>
      </c>
      <c r="C10" s="69">
        <v>2</v>
      </c>
      <c r="D10" s="69">
        <v>3</v>
      </c>
      <c r="E10" s="69">
        <v>150</v>
      </c>
      <c r="F10" s="69">
        <v>0</v>
      </c>
      <c r="G10" s="69">
        <v>2</v>
      </c>
      <c r="H10" s="69">
        <v>0</v>
      </c>
      <c r="I10" s="69">
        <v>0</v>
      </c>
      <c r="J10" s="69" t="s">
        <v>120</v>
      </c>
    </row>
    <row r="11" spans="1:10" ht="76.5" x14ac:dyDescent="0.2">
      <c r="A11" s="69" t="s">
        <v>74</v>
      </c>
      <c r="B11" s="69">
        <v>196024</v>
      </c>
      <c r="C11" s="69">
        <v>25</v>
      </c>
      <c r="D11" s="69">
        <v>19</v>
      </c>
      <c r="E11" s="69">
        <v>76</v>
      </c>
      <c r="F11" s="69">
        <v>4</v>
      </c>
      <c r="G11" s="69">
        <v>11</v>
      </c>
      <c r="H11" s="69">
        <v>21.05</v>
      </c>
      <c r="I11" s="69">
        <v>16</v>
      </c>
      <c r="J11" s="69" t="s">
        <v>121</v>
      </c>
    </row>
    <row r="12" spans="1:10" ht="102" x14ac:dyDescent="0.2">
      <c r="A12" s="69" t="s">
        <v>75</v>
      </c>
      <c r="B12" s="69">
        <v>44212</v>
      </c>
      <c r="C12" s="69">
        <v>10</v>
      </c>
      <c r="D12" s="69">
        <v>16</v>
      </c>
      <c r="E12" s="69">
        <v>160</v>
      </c>
      <c r="F12" s="69">
        <v>1</v>
      </c>
      <c r="G12" s="69">
        <v>14</v>
      </c>
      <c r="H12" s="69">
        <v>6.25</v>
      </c>
      <c r="I12" s="69">
        <v>10</v>
      </c>
      <c r="J12" s="69" t="s">
        <v>122</v>
      </c>
    </row>
    <row r="13" spans="1:10" ht="89.25" x14ac:dyDescent="0.2">
      <c r="A13" s="69" t="s">
        <v>76</v>
      </c>
      <c r="B13" s="69">
        <v>55673</v>
      </c>
      <c r="C13" s="69">
        <v>4</v>
      </c>
      <c r="D13" s="69">
        <v>3</v>
      </c>
      <c r="E13" s="69">
        <v>75</v>
      </c>
      <c r="F13" s="69">
        <v>1</v>
      </c>
      <c r="G13" s="69">
        <v>2</v>
      </c>
      <c r="H13" s="69">
        <v>33.33</v>
      </c>
      <c r="I13" s="69">
        <v>25</v>
      </c>
      <c r="J13" s="69" t="s">
        <v>123</v>
      </c>
    </row>
    <row r="14" spans="1:10" ht="51" x14ac:dyDescent="0.2">
      <c r="A14" s="69" t="s">
        <v>103</v>
      </c>
      <c r="B14" s="69">
        <v>55538</v>
      </c>
      <c r="C14" s="69">
        <v>5</v>
      </c>
      <c r="D14" s="69">
        <v>7</v>
      </c>
      <c r="E14" s="69">
        <v>140</v>
      </c>
      <c r="F14" s="69">
        <v>0</v>
      </c>
      <c r="G14" s="69">
        <v>6</v>
      </c>
      <c r="H14" s="69">
        <v>0</v>
      </c>
      <c r="I14" s="69">
        <v>0</v>
      </c>
      <c r="J14" s="69" t="s">
        <v>124</v>
      </c>
    </row>
    <row r="15" spans="1:10" ht="102" x14ac:dyDescent="0.2">
      <c r="A15" s="69" t="s">
        <v>94</v>
      </c>
      <c r="B15" s="69">
        <v>79716</v>
      </c>
      <c r="C15" s="69">
        <v>14</v>
      </c>
      <c r="D15" s="69">
        <v>31</v>
      </c>
      <c r="E15" s="69">
        <v>221</v>
      </c>
      <c r="F15" s="69">
        <v>2</v>
      </c>
      <c r="G15" s="69">
        <v>24</v>
      </c>
      <c r="H15" s="69">
        <v>6.45</v>
      </c>
      <c r="I15" s="69">
        <v>14.29</v>
      </c>
      <c r="J15" s="69" t="s">
        <v>125</v>
      </c>
    </row>
    <row r="16" spans="1:10" ht="114.75" x14ac:dyDescent="0.2">
      <c r="A16" s="69" t="s">
        <v>77</v>
      </c>
      <c r="B16" s="69">
        <v>191791</v>
      </c>
      <c r="C16" s="69">
        <v>28</v>
      </c>
      <c r="D16" s="69">
        <v>42</v>
      </c>
      <c r="E16" s="69">
        <v>150</v>
      </c>
      <c r="F16" s="69">
        <v>3</v>
      </c>
      <c r="G16" s="69">
        <v>34</v>
      </c>
      <c r="H16" s="69">
        <v>7.14</v>
      </c>
      <c r="I16" s="69">
        <v>10.71</v>
      </c>
      <c r="J16" s="69" t="s">
        <v>126</v>
      </c>
    </row>
    <row r="17" spans="1:10" ht="38.25" x14ac:dyDescent="0.2">
      <c r="A17" s="69" t="s">
        <v>78</v>
      </c>
      <c r="B17" s="69">
        <v>38863</v>
      </c>
      <c r="C17" s="69">
        <v>20</v>
      </c>
      <c r="D17" s="69">
        <v>25</v>
      </c>
      <c r="E17" s="69">
        <v>125</v>
      </c>
      <c r="F17" s="69">
        <v>0</v>
      </c>
      <c r="G17" s="69">
        <v>18</v>
      </c>
      <c r="H17" s="69">
        <v>0</v>
      </c>
      <c r="I17" s="69">
        <v>0</v>
      </c>
      <c r="J17" s="69" t="s">
        <v>127</v>
      </c>
    </row>
    <row r="18" spans="1:10" ht="38.25" x14ac:dyDescent="0.2">
      <c r="A18" s="69" t="s">
        <v>104</v>
      </c>
      <c r="B18" s="69">
        <v>59146</v>
      </c>
      <c r="C18" s="69">
        <v>1</v>
      </c>
      <c r="D18" s="69">
        <v>0</v>
      </c>
      <c r="E18" s="69">
        <v>0</v>
      </c>
      <c r="F18" s="69">
        <v>0</v>
      </c>
      <c r="G18" s="69">
        <v>0</v>
      </c>
      <c r="H18" s="69">
        <v>0</v>
      </c>
      <c r="I18" s="69">
        <v>0</v>
      </c>
      <c r="J18" s="69" t="s">
        <v>103</v>
      </c>
    </row>
    <row r="19" spans="1:10" ht="25.5" x14ac:dyDescent="0.2">
      <c r="A19" s="69" t="s">
        <v>101</v>
      </c>
      <c r="B19" s="69">
        <v>32</v>
      </c>
      <c r="C19" s="69">
        <v>1</v>
      </c>
      <c r="D19" s="69">
        <v>0</v>
      </c>
      <c r="E19" s="69">
        <v>0</v>
      </c>
      <c r="F19" s="69">
        <v>0</v>
      </c>
      <c r="G19" s="69">
        <v>0</v>
      </c>
      <c r="H19" s="69">
        <v>0</v>
      </c>
      <c r="I19" s="69">
        <v>0</v>
      </c>
      <c r="J19" s="69" t="s">
        <v>112</v>
      </c>
    </row>
    <row r="20" spans="1:10" ht="102" x14ac:dyDescent="0.2">
      <c r="A20" s="69" t="s">
        <v>79</v>
      </c>
      <c r="B20" s="69">
        <v>308252</v>
      </c>
      <c r="C20" s="69">
        <v>29</v>
      </c>
      <c r="D20" s="69">
        <v>26</v>
      </c>
      <c r="E20" s="69">
        <v>90</v>
      </c>
      <c r="F20" s="69">
        <v>6</v>
      </c>
      <c r="G20" s="69">
        <v>19</v>
      </c>
      <c r="H20" s="69">
        <v>23.08</v>
      </c>
      <c r="I20" s="69">
        <v>20.69</v>
      </c>
      <c r="J20" s="69" t="s">
        <v>128</v>
      </c>
    </row>
    <row r="21" spans="1:10" ht="114.75" x14ac:dyDescent="0.2">
      <c r="A21" s="69" t="s">
        <v>80</v>
      </c>
      <c r="B21" s="69">
        <v>307713</v>
      </c>
      <c r="C21" s="69">
        <v>48</v>
      </c>
      <c r="D21" s="69">
        <v>111</v>
      </c>
      <c r="E21" s="69">
        <v>231</v>
      </c>
      <c r="F21" s="69">
        <v>7</v>
      </c>
      <c r="G21" s="69">
        <v>94</v>
      </c>
      <c r="H21" s="69">
        <v>6.31</v>
      </c>
      <c r="I21" s="69">
        <v>14.58</v>
      </c>
      <c r="J21" s="69" t="s">
        <v>129</v>
      </c>
    </row>
    <row r="22" spans="1:10" ht="51" x14ac:dyDescent="0.2">
      <c r="A22" s="69" t="s">
        <v>81</v>
      </c>
      <c r="B22" s="69">
        <v>22327</v>
      </c>
      <c r="C22" s="69">
        <v>2</v>
      </c>
      <c r="D22" s="69">
        <v>0</v>
      </c>
      <c r="E22" s="69">
        <v>0</v>
      </c>
      <c r="F22" s="69">
        <v>0</v>
      </c>
      <c r="G22" s="69">
        <v>0</v>
      </c>
      <c r="H22" s="69">
        <v>0</v>
      </c>
      <c r="I22" s="69">
        <v>0</v>
      </c>
      <c r="J22" s="69" t="s">
        <v>130</v>
      </c>
    </row>
    <row r="23" spans="1:10" ht="25.5" x14ac:dyDescent="0.2">
      <c r="A23" s="69" t="s">
        <v>82</v>
      </c>
      <c r="B23" s="69">
        <v>22429</v>
      </c>
      <c r="C23" s="69">
        <v>2</v>
      </c>
      <c r="D23" s="69">
        <v>2</v>
      </c>
      <c r="E23" s="69">
        <v>100</v>
      </c>
      <c r="F23" s="69">
        <v>0</v>
      </c>
      <c r="G23" s="69">
        <v>0</v>
      </c>
      <c r="H23" s="69">
        <v>0</v>
      </c>
      <c r="I23" s="69">
        <v>0</v>
      </c>
      <c r="J23" s="69" t="s">
        <v>71</v>
      </c>
    </row>
    <row r="24" spans="1:10" ht="38.25" x14ac:dyDescent="0.2">
      <c r="A24" s="69" t="s">
        <v>83</v>
      </c>
      <c r="B24" s="69">
        <v>21081</v>
      </c>
      <c r="C24" s="69">
        <v>1</v>
      </c>
      <c r="D24" s="69">
        <v>1</v>
      </c>
      <c r="E24" s="69">
        <v>100</v>
      </c>
      <c r="F24" s="69">
        <v>0</v>
      </c>
      <c r="G24" s="69">
        <v>1</v>
      </c>
      <c r="H24" s="69">
        <v>0</v>
      </c>
      <c r="I24" s="69">
        <v>0</v>
      </c>
      <c r="J24" s="69" t="s">
        <v>131</v>
      </c>
    </row>
    <row r="25" spans="1:10" ht="63.75" x14ac:dyDescent="0.2">
      <c r="A25" s="69" t="s">
        <v>84</v>
      </c>
      <c r="B25" s="69">
        <v>16579</v>
      </c>
      <c r="C25" s="69">
        <v>1</v>
      </c>
      <c r="D25" s="69">
        <v>0</v>
      </c>
      <c r="E25" s="69">
        <v>0</v>
      </c>
      <c r="F25" s="69">
        <v>0</v>
      </c>
      <c r="G25" s="69">
        <v>0</v>
      </c>
      <c r="H25" s="69">
        <v>0</v>
      </c>
      <c r="I25" s="69">
        <v>0</v>
      </c>
      <c r="J25" s="69" t="s">
        <v>132</v>
      </c>
    </row>
    <row r="26" spans="1:10" ht="38.25" x14ac:dyDescent="0.2">
      <c r="A26" s="69" t="s">
        <v>108</v>
      </c>
      <c r="B26" s="69">
        <v>1484</v>
      </c>
      <c r="C26" s="69">
        <v>7</v>
      </c>
      <c r="D26" s="69">
        <v>23</v>
      </c>
      <c r="E26" s="69">
        <v>329</v>
      </c>
      <c r="F26" s="69">
        <v>2</v>
      </c>
      <c r="G26" s="69">
        <v>21</v>
      </c>
      <c r="H26" s="69">
        <v>8.6999999999999993</v>
      </c>
      <c r="I26" s="69">
        <v>28.57</v>
      </c>
      <c r="J26" s="69" t="s">
        <v>133</v>
      </c>
    </row>
    <row r="27" spans="1:10" ht="102" x14ac:dyDescent="0.2">
      <c r="A27" s="69" t="s">
        <v>85</v>
      </c>
      <c r="B27" s="69">
        <v>155707</v>
      </c>
      <c r="C27" s="69">
        <v>21</v>
      </c>
      <c r="D27" s="69">
        <v>33</v>
      </c>
      <c r="E27" s="69">
        <v>157</v>
      </c>
      <c r="F27" s="69">
        <v>4</v>
      </c>
      <c r="G27" s="69">
        <v>21</v>
      </c>
      <c r="H27" s="69">
        <v>12.12</v>
      </c>
      <c r="I27" s="69">
        <v>19.05</v>
      </c>
      <c r="J27" s="69" t="s">
        <v>134</v>
      </c>
    </row>
    <row r="28" spans="1:10" ht="25.5" x14ac:dyDescent="0.2">
      <c r="A28" s="69" t="s">
        <v>102</v>
      </c>
      <c r="B28" s="69">
        <v>479</v>
      </c>
      <c r="C28" s="69">
        <v>1</v>
      </c>
      <c r="D28" s="69">
        <v>3</v>
      </c>
      <c r="E28" s="69">
        <v>300</v>
      </c>
      <c r="F28" s="69">
        <v>0</v>
      </c>
      <c r="G28" s="69">
        <v>3</v>
      </c>
      <c r="H28" s="69">
        <v>0</v>
      </c>
      <c r="I28" s="69">
        <v>0</v>
      </c>
      <c r="J28" s="69" t="s">
        <v>89</v>
      </c>
    </row>
    <row r="29" spans="1:10" ht="102" x14ac:dyDescent="0.2">
      <c r="A29" s="69" t="s">
        <v>86</v>
      </c>
      <c r="B29" s="69">
        <v>50362</v>
      </c>
      <c r="C29" s="69">
        <v>13</v>
      </c>
      <c r="D29" s="69">
        <v>26</v>
      </c>
      <c r="E29" s="69">
        <v>200</v>
      </c>
      <c r="F29" s="69">
        <v>1</v>
      </c>
      <c r="G29" s="69">
        <v>22</v>
      </c>
      <c r="H29" s="69">
        <v>3.85</v>
      </c>
      <c r="I29" s="69">
        <v>7.69</v>
      </c>
      <c r="J29" s="69" t="s">
        <v>135</v>
      </c>
    </row>
    <row r="30" spans="1:10" ht="89.25" x14ac:dyDescent="0.2">
      <c r="A30" s="69" t="s">
        <v>87</v>
      </c>
      <c r="B30" s="69">
        <v>342239</v>
      </c>
      <c r="C30" s="69">
        <v>25</v>
      </c>
      <c r="D30" s="69">
        <v>19</v>
      </c>
      <c r="E30" s="69">
        <v>76</v>
      </c>
      <c r="F30" s="69">
        <v>3</v>
      </c>
      <c r="G30" s="69">
        <v>11</v>
      </c>
      <c r="H30" s="69">
        <v>15.79</v>
      </c>
      <c r="I30" s="69">
        <v>12</v>
      </c>
      <c r="J30" s="69" t="s">
        <v>136</v>
      </c>
    </row>
    <row r="31" spans="1:10" ht="25.5" x14ac:dyDescent="0.2">
      <c r="A31" s="69" t="s">
        <v>88</v>
      </c>
      <c r="B31" s="69">
        <v>7096</v>
      </c>
      <c r="C31" s="69">
        <v>1</v>
      </c>
      <c r="D31" s="69">
        <v>1</v>
      </c>
      <c r="E31" s="69">
        <v>100</v>
      </c>
      <c r="F31" s="69">
        <v>0</v>
      </c>
      <c r="G31" s="69">
        <v>1</v>
      </c>
      <c r="H31" s="69">
        <v>0</v>
      </c>
      <c r="I31" s="69">
        <v>0</v>
      </c>
      <c r="J31" s="69" t="s">
        <v>92</v>
      </c>
    </row>
    <row r="32" spans="1:10" ht="63.75" x14ac:dyDescent="0.2">
      <c r="A32" s="69" t="s">
        <v>89</v>
      </c>
      <c r="B32" s="69">
        <v>130058</v>
      </c>
      <c r="C32" s="69">
        <v>39</v>
      </c>
      <c r="D32" s="69">
        <v>77</v>
      </c>
      <c r="E32" s="69">
        <v>197</v>
      </c>
      <c r="F32" s="69">
        <v>5</v>
      </c>
      <c r="G32" s="69">
        <v>70</v>
      </c>
      <c r="H32" s="69">
        <v>6.49</v>
      </c>
      <c r="I32" s="69">
        <v>12.82</v>
      </c>
      <c r="J32" s="69" t="s">
        <v>137</v>
      </c>
    </row>
    <row r="33" spans="1:10" ht="102" x14ac:dyDescent="0.2">
      <c r="A33" s="69" t="s">
        <v>96</v>
      </c>
      <c r="B33" s="69">
        <v>112077</v>
      </c>
      <c r="C33" s="69">
        <v>17</v>
      </c>
      <c r="D33" s="69">
        <v>50</v>
      </c>
      <c r="E33" s="69">
        <v>294</v>
      </c>
      <c r="F33" s="69">
        <v>2</v>
      </c>
      <c r="G33" s="69">
        <v>44</v>
      </c>
      <c r="H33" s="69">
        <v>4</v>
      </c>
      <c r="I33" s="69">
        <v>11.76</v>
      </c>
      <c r="J33" s="69" t="s">
        <v>138</v>
      </c>
    </row>
    <row r="34" spans="1:10" ht="25.5" x14ac:dyDescent="0.2">
      <c r="A34" s="69" t="s">
        <v>90</v>
      </c>
      <c r="B34" s="69">
        <v>10491</v>
      </c>
      <c r="C34" s="69">
        <v>2</v>
      </c>
      <c r="D34" s="69">
        <v>2</v>
      </c>
      <c r="E34" s="69">
        <v>100</v>
      </c>
      <c r="F34" s="69">
        <v>1</v>
      </c>
      <c r="G34" s="69">
        <v>1</v>
      </c>
      <c r="H34" s="69">
        <v>50</v>
      </c>
      <c r="I34" s="69">
        <v>50</v>
      </c>
      <c r="J34" s="69" t="s">
        <v>139</v>
      </c>
    </row>
    <row r="35" spans="1:10" ht="165.75" x14ac:dyDescent="0.2">
      <c r="A35" s="69" t="s">
        <v>91</v>
      </c>
      <c r="B35" s="69">
        <v>240928</v>
      </c>
      <c r="C35" s="69">
        <v>80</v>
      </c>
      <c r="D35" s="69">
        <v>80</v>
      </c>
      <c r="E35" s="69">
        <v>100</v>
      </c>
      <c r="F35" s="69">
        <v>7</v>
      </c>
      <c r="G35" s="69">
        <v>57</v>
      </c>
      <c r="H35" s="69">
        <v>8.75</v>
      </c>
      <c r="I35" s="69">
        <v>8.75</v>
      </c>
      <c r="J35" s="69" t="s">
        <v>140</v>
      </c>
    </row>
    <row r="36" spans="1:10" ht="51" x14ac:dyDescent="0.2">
      <c r="A36" s="69" t="s">
        <v>95</v>
      </c>
      <c r="B36" s="69">
        <v>53483</v>
      </c>
      <c r="C36" s="69">
        <v>5</v>
      </c>
      <c r="D36" s="69">
        <v>4</v>
      </c>
      <c r="E36" s="69">
        <v>80</v>
      </c>
      <c r="F36" s="69">
        <v>1</v>
      </c>
      <c r="G36" s="69">
        <v>3</v>
      </c>
      <c r="H36" s="69">
        <v>25</v>
      </c>
      <c r="I36" s="69">
        <v>20</v>
      </c>
      <c r="J36" s="69" t="s">
        <v>141</v>
      </c>
    </row>
    <row r="37" spans="1:10" ht="63.75" x14ac:dyDescent="0.2">
      <c r="A37" s="69" t="s">
        <v>92</v>
      </c>
      <c r="B37" s="69">
        <v>88752</v>
      </c>
      <c r="C37" s="69">
        <v>42</v>
      </c>
      <c r="D37" s="69">
        <v>72</v>
      </c>
      <c r="E37" s="69">
        <v>171</v>
      </c>
      <c r="F37" s="69">
        <v>11</v>
      </c>
      <c r="G37" s="69">
        <v>53</v>
      </c>
      <c r="H37" s="69">
        <v>15.28</v>
      </c>
      <c r="I37" s="69">
        <v>26.19</v>
      </c>
      <c r="J37" s="69"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Counting Status</dc:title>
  <cp:keywords>PDF, Laravel, Package, Peace</cp:keywords>
  <cp:lastModifiedBy>Malini Krishnan</cp:lastModifiedBy>
  <dcterms:created xsi:type="dcterms:W3CDTF">2026-03-10T17:30:59Z</dcterms:created>
  <dcterms:modified xsi:type="dcterms:W3CDTF">2026-03-10T18:17:15Z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2024-12-25T00:00:00Z</vt:filetime>
  </property>
  <property fmtid="{D5CDD505-2E9C-101B-9397-08002B2CF9AE}" pid="3" name="Creator">
    <vt:lpwstr>Laravel Pdf</vt:lpwstr>
  </property>
  <property fmtid="{D5CDD505-2E9C-101B-9397-08002B2CF9AE}" pid="4" name="LastSaved">
    <vt:filetime>2026-03-10T00:00:00Z</vt:filetime>
  </property>
  <property fmtid="{D5CDD505-2E9C-101B-9397-08002B2CF9AE}" pid="5" name="Producer">
    <vt:lpwstr>mPDF 8.1.6</vt:lpwstr>
  </property>
</Properties>
</file>